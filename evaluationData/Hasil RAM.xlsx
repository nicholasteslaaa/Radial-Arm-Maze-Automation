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 Mentah" sheetId="1" r:id="rId4"/>
    <sheet state="visible" name="Data Correct Entries" sheetId="2" r:id="rId5"/>
    <sheet state="visible" name="Data Correct Entries Ratio" sheetId="3" r:id="rId6"/>
    <sheet state="visible" name="Data Memory Errors" sheetId="4" r:id="rId7"/>
    <sheet state="visible" name="Data Duration" sheetId="5" r:id="rId8"/>
    <sheet state="visible" name="Hasil Proses" sheetId="6" r:id="rId9"/>
    <sheet state="visible" name="Proses Correct Entries" sheetId="7" r:id="rId10"/>
    <sheet state="visible" name="Proses Correct Entries Ratio" sheetId="8" r:id="rId11"/>
    <sheet state="visible" name="Proses Memory Error" sheetId="9" r:id="rId12"/>
    <sheet state="visible" name="Proses Duration" sheetId="10" r:id="rId13"/>
  </sheets>
  <definedNames/>
  <calcPr/>
</workbook>
</file>

<file path=xl/sharedStrings.xml><?xml version="1.0" encoding="utf-8"?>
<sst xmlns="http://schemas.openxmlformats.org/spreadsheetml/2006/main" count="2135" uniqueCount="77">
  <si>
    <t>Tanggal</t>
  </si>
  <si>
    <t>Perlakuan</t>
  </si>
  <si>
    <t>Kelompok  A
(Kontrol Negatif)</t>
  </si>
  <si>
    <t>Kelompok B
(Kontrol Positif)</t>
  </si>
  <si>
    <t>Kelompok C
(BUMSC 0,2)</t>
  </si>
  <si>
    <t>Kelompok D
(BUMSC 0,1)</t>
  </si>
  <si>
    <t>Kelompok E
(BUMSC Donepezil)</t>
  </si>
  <si>
    <t>Kode Mencit</t>
  </si>
  <si>
    <t>Benar</t>
  </si>
  <si>
    <t>Salah</t>
  </si>
  <si>
    <t>Hasil</t>
  </si>
  <si>
    <t>Jumat, 21 Februari 2025</t>
  </si>
  <si>
    <t>A: -
B: -
C: Injeksi IP BUMSC-CM 0,4 ml/kg BB
D: Injeksi IP BUMSC-CM 0,2 ml/kg BB
E: Pemberian PO Donepezil 10 mg/kg BB</t>
  </si>
  <si>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</si>
  <si>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</si>
  <si>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</si>
  <si>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</si>
  <si>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</si>
  <si>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</si>
  <si>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</si>
  <si>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</si>
  <si>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</si>
  <si>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</si>
  <si>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</si>
  <si>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</si>
  <si>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</si>
  <si>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</si>
  <si>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</si>
  <si>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</si>
  <si>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</si>
  <si>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</si>
  <si>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</si>
  <si>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</si>
  <si>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Average</t>
  </si>
  <si>
    <t>Sabtu, 22 Februari 2025</t>
  </si>
  <si>
    <t>Minggu, 23 Februari 2025</t>
  </si>
  <si>
    <t>Senin, 24 Februari 2025</t>
  </si>
  <si>
    <t>Selasa, 25 Februari 2025</t>
  </si>
  <si>
    <t>Rabu, 26 Februari 2025</t>
  </si>
  <si>
    <t>Kamis, 27 Februari 2025</t>
  </si>
  <si>
    <t>Jumat, 28 Februari 2025</t>
  </si>
  <si>
    <t>Sabtu, 1 Maret 2025</t>
  </si>
  <si>
    <t>Minggu, 2 Maret 2025</t>
  </si>
  <si>
    <t>Senin, 3 Maret 2025</t>
  </si>
  <si>
    <t>Selasa, 4 Maret 2025</t>
  </si>
  <si>
    <t>Rabu, 5 Maret 2025</t>
  </si>
  <si>
    <t>Kamis, 6 Maret 2025</t>
  </si>
  <si>
    <t>A: Injeksi IP NaCl 1 ml/100gr BB
B: Induksi TMT
C: Induksi TMT
D: Induksi TMT
E: Induksi TMT</t>
  </si>
  <si>
    <t>Hari</t>
  </si>
  <si>
    <t>Kelompok A</t>
  </si>
  <si>
    <t>Kelompok B</t>
  </si>
  <si>
    <t>Kelompok C (NPs)</t>
  </si>
  <si>
    <t>Kelompok C (CM)</t>
  </si>
  <si>
    <t>Kelompok D (NPs)</t>
  </si>
  <si>
    <t>Kelompok D (CM)</t>
  </si>
  <si>
    <t>Kelompok E</t>
  </si>
  <si>
    <t>H+1</t>
  </si>
  <si>
    <t>H+2</t>
  </si>
  <si>
    <t>H+3</t>
  </si>
  <si>
    <t>H+4</t>
  </si>
  <si>
    <t>H+5</t>
  </si>
  <si>
    <t>H+6</t>
  </si>
  <si>
    <t>H+7</t>
  </si>
  <si>
    <t>H+8</t>
  </si>
  <si>
    <t>H+9</t>
  </si>
  <si>
    <t>H+10</t>
  </si>
  <si>
    <t>H+11</t>
  </si>
  <si>
    <t>H+12</t>
  </si>
  <si>
    <t>H+13</t>
  </si>
  <si>
    <t>H+14</t>
  </si>
  <si>
    <t>Kontrol Negatif</t>
  </si>
  <si>
    <t>Kontrol Positif</t>
  </si>
  <si>
    <t>NPs 0,2 ml</t>
  </si>
  <si>
    <t>CM 0,2 ml</t>
  </si>
  <si>
    <t>NPs 0,1 ml</t>
  </si>
  <si>
    <t>CM 0,1 ml</t>
  </si>
  <si>
    <t>Donepezil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</si>
</sst>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Font="1"/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ont="1">
      <alignment readingOrder="0" shrinkToFit="0" wrapText="0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1" numFmtId="2" xfId="0" applyAlignment="1" applyFont="1" applyNumberFormat="1">
      <alignment horizontal="left" readingOrder="0" shrinkToFit="0" vertical="top" wrapText="0"/>
    </xf>
    <xf borderId="0" fillId="0" fontId="1" numFmtId="1" xfId="0" applyAlignment="1" applyFont="1" applyNumberFormat="1">
      <alignment readingOrder="0" shrinkToFit="0" wrapText="0"/>
    </xf>
    <xf borderId="0" fillId="0" fontId="1" numFmtId="2" xfId="0" applyAlignment="1" applyFont="1" applyNumberFormat="1">
      <alignment readingOrder="0" shrinkToFit="0" wrapText="0"/>
    </xf>
    <xf borderId="0" fillId="0" fontId="2" numFmtId="2" xfId="0" applyAlignment="1" applyFont="1" applyNumberFormat="1">
      <alignment horizontal="center" readingOrder="0" shrinkToFit="0" wrapText="0"/>
    </xf>
    <xf borderId="0" fillId="0" fontId="2" numFmtId="1" xfId="0" applyAlignment="1" applyFont="1" applyNumberFormat="1">
      <alignment readingOrder="0" vertical="bottom"/>
    </xf>
    <xf borderId="0" fillId="0" fontId="2" numFmtId="2" xfId="0" applyAlignment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1" numFmtId="2" xfId="0" applyFont="1" applyNumberFormat="1"/>
    <xf borderId="0" fillId="2" fontId="1" numFmtId="2" xfId="0" applyAlignment="1" applyFont="1" applyNumberFormat="1">
      <alignment horizontal="center" readingOrder="0" shrinkToFit="0" vertical="center" wrapText="0"/>
    </xf>
    <xf borderId="0" fillId="2" fontId="1" numFmtId="2" xfId="0" applyAlignment="1" applyFont="1" applyNumberFormat="1">
      <alignment readingOrder="0" shrinkToFit="0" wrapText="0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2" xfId="0" applyAlignment="1" applyFont="1" applyNumberFormat="1">
      <alignment horizontal="right" readingOrder="0" shrinkToFit="0" vertical="bottom" wrapText="0"/>
    </xf>
    <xf borderId="0" fillId="4" fontId="1" numFmtId="1" xfId="0" applyAlignment="1" applyFont="1" applyNumberFormat="1">
      <alignment horizontal="center" readingOrder="0" shrinkToFit="0" vertical="center" wrapText="0"/>
    </xf>
    <xf borderId="0" fillId="0" fontId="1" numFmtId="2" xfId="0" applyFont="1" applyNumberFormat="1"/>
    <xf borderId="0" fillId="0" fontId="1" numFmtId="2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left" readingOrder="0" shrinkToFit="0" vertical="top" wrapText="0"/>
    </xf>
    <xf borderId="0" fillId="0" fontId="1" numFmtId="1" xfId="0" applyAlignment="1" applyFont="1" applyNumberFormat="1">
      <alignment readingOrder="0" shrinkToFit="0" wrapText="0"/>
    </xf>
    <xf borderId="0" fillId="0" fontId="2" numFmtId="1" xfId="0" applyAlignment="1" applyFont="1" applyNumberFormat="1">
      <alignment horizontal="center" readingOrder="0" shrinkToFit="0" wrapText="0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horizontal="center" readingOrder="0" shrinkToFit="0" vertical="bottom" wrapText="0"/>
    </xf>
    <xf borderId="0" fillId="0" fontId="1" numFmtId="1" xfId="0" applyFont="1" applyNumberFormat="1"/>
    <xf borderId="0" fillId="2" fontId="1" numFmtId="1" xfId="0" applyAlignment="1" applyFont="1" applyNumberFormat="1">
      <alignment horizontal="center" readingOrder="0" shrinkToFit="0" vertical="center" wrapText="0"/>
    </xf>
    <xf borderId="0" fillId="2" fontId="1" numFmtId="1" xfId="0" applyAlignment="1" applyFont="1" applyNumberFormat="1">
      <alignment readingOrder="0" shrinkToFit="0" wrapText="0"/>
    </xf>
    <xf borderId="0" fillId="0" fontId="2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/>
    </xf>
    <xf borderId="0" fillId="0" fontId="2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5" fontId="2" numFmtId="2" xfId="0" applyAlignment="1" applyFill="1" applyFont="1" applyNumberFormat="1">
      <alignment horizontal="right" shrinkToFit="0" vertical="bottom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asil Pros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ses Correct Entri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ses Correct Entries Ratio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ses Memory Erro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roses Duration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negatif vs kontrol positif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Proses'!$B$3:$B$16</c:f>
              <c:numCache/>
            </c:numRef>
          </c:val>
          <c:smooth val="0"/>
        </c:ser>
        <c:ser>
          <c:idx val="1"/>
          <c:order val="1"/>
          <c:tx>
            <c:strRef>
              <c:f>'Hasil Proses'!$C$2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Proses'!$C$3:$C$16</c:f>
              <c:numCache/>
            </c:numRef>
          </c:val>
          <c:smooth val="0"/>
        </c:ser>
        <c:axId val="1729309622"/>
        <c:axId val="1055146988"/>
      </c:lineChart>
      <c:catAx>
        <c:axId val="1729309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146988"/>
      </c:catAx>
      <c:valAx>
        <c:axId val="1055146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309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C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Proses'!$D$3:$D$16</c:f>
              <c:numCache/>
            </c:numRef>
          </c:val>
          <c:smooth val="0"/>
        </c:ser>
        <c:ser>
          <c:idx val="1"/>
          <c:order val="1"/>
          <c:tx>
            <c:strRef>
              <c:f>'Hasil Proses'!$E$2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Proses'!$E$3:$E$16</c:f>
              <c:numCache/>
            </c:numRef>
          </c:val>
          <c:smooth val="0"/>
        </c:ser>
        <c:axId val="1802248588"/>
        <c:axId val="27110594"/>
      </c:lineChart>
      <c:catAx>
        <c:axId val="1802248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10594"/>
      </c:catAx>
      <c:valAx>
        <c:axId val="27110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248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D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Proses'!$F$3:$F$16</c:f>
              <c:numCache/>
            </c:numRef>
          </c:val>
          <c:smooth val="0"/>
        </c:ser>
        <c:ser>
          <c:idx val="1"/>
          <c:order val="1"/>
          <c:tx>
            <c:strRef>
              <c:f>'Hasil Proses'!$G$2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Proses'!$G$3:$G$16</c:f>
              <c:numCache/>
            </c:numRef>
          </c:val>
          <c:smooth val="0"/>
        </c:ser>
        <c:axId val="180615815"/>
        <c:axId val="1679363011"/>
      </c:lineChart>
      <c:catAx>
        <c:axId val="180615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363011"/>
      </c:catAx>
      <c:valAx>
        <c:axId val="1679363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15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Proses'!$B$3:$B$16</c:f>
              <c:numCache/>
            </c:numRef>
          </c:val>
          <c:smooth val="0"/>
        </c:ser>
        <c:ser>
          <c:idx val="1"/>
          <c:order val="1"/>
          <c:tx>
            <c:strRef>
              <c:f>'Hasil Proses'!$C$2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Proses'!$C$3:$C$16</c:f>
              <c:numCache/>
            </c:numRef>
          </c:val>
          <c:smooth val="0"/>
        </c:ser>
        <c:ser>
          <c:idx val="2"/>
          <c:order val="2"/>
          <c:tx>
            <c:strRef>
              <c:f>'Hasil Proses'!$D$2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Proses'!$D$3:$D$16</c:f>
              <c:numCache/>
            </c:numRef>
          </c:val>
          <c:smooth val="0"/>
        </c:ser>
        <c:ser>
          <c:idx val="3"/>
          <c:order val="3"/>
          <c:tx>
            <c:strRef>
              <c:f>'Hasil Proses'!$E$2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Proses'!$E$3:$E$16</c:f>
              <c:numCache/>
            </c:numRef>
          </c:val>
          <c:smooth val="0"/>
        </c:ser>
        <c:ser>
          <c:idx val="4"/>
          <c:order val="4"/>
          <c:tx>
            <c:strRef>
              <c:f>'Hasil Proses'!$F$2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Proses'!$F$3:$F$16</c:f>
              <c:numCache/>
            </c:numRef>
          </c:val>
          <c:smooth val="0"/>
        </c:ser>
        <c:ser>
          <c:idx val="5"/>
          <c:order val="5"/>
          <c:tx>
            <c:strRef>
              <c:f>'Hasil Proses'!$G$2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Proses'!$G$3:$G$16</c:f>
              <c:numCache/>
            </c:numRef>
          </c:val>
          <c:smooth val="0"/>
        </c:ser>
        <c:ser>
          <c:idx val="6"/>
          <c:order val="6"/>
          <c:tx>
            <c:strRef>
              <c:f>'Hasil Proses'!$H$2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Proses'!$H$3:$H$16</c:f>
              <c:numCache/>
            </c:numRef>
          </c:val>
          <c:smooth val="0"/>
        </c:ser>
        <c:axId val="1406330002"/>
        <c:axId val="1331412181"/>
      </c:lineChart>
      <c:catAx>
        <c:axId val="140633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412181"/>
      </c:catAx>
      <c:valAx>
        <c:axId val="1331412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330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Proses'!$C$3:$C$16</c:f>
              <c:numCache/>
            </c:numRef>
          </c:val>
          <c:smooth val="0"/>
        </c:ser>
        <c:ser>
          <c:idx val="1"/>
          <c:order val="1"/>
          <c:tx>
            <c:strRef>
              <c:f>'Hasil Proses'!$D$2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Proses'!$D$3:$D$16</c:f>
              <c:numCache/>
            </c:numRef>
          </c:val>
          <c:smooth val="0"/>
        </c:ser>
        <c:ser>
          <c:idx val="2"/>
          <c:order val="2"/>
          <c:tx>
            <c:strRef>
              <c:f>'Hasil Proses'!$E$2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Proses'!$E$3:$E$16</c:f>
              <c:numCache/>
            </c:numRef>
          </c:val>
          <c:smooth val="0"/>
        </c:ser>
        <c:axId val="357597661"/>
        <c:axId val="1235674798"/>
      </c:lineChart>
      <c:catAx>
        <c:axId val="357597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674798"/>
      </c:catAx>
      <c:valAx>
        <c:axId val="1235674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597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Proses'!$C$3:$C$16</c:f>
              <c:numCache/>
            </c:numRef>
          </c:val>
          <c:smooth val="0"/>
        </c:ser>
        <c:ser>
          <c:idx val="1"/>
          <c:order val="1"/>
          <c:tx>
            <c:strRef>
              <c:f>'Hasil Proses'!$F$2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Proses'!$F$3:$F$16</c:f>
              <c:numCache/>
            </c:numRef>
          </c:val>
          <c:smooth val="0"/>
        </c:ser>
        <c:ser>
          <c:idx val="2"/>
          <c:order val="2"/>
          <c:tx>
            <c:strRef>
              <c:f>'Hasil Proses'!$G$2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Proses'!$G$3:$G$16</c:f>
              <c:numCache/>
            </c:numRef>
          </c:val>
          <c:smooth val="0"/>
        </c:ser>
        <c:axId val="114068995"/>
        <c:axId val="286745225"/>
      </c:lineChart>
      <c:catAx>
        <c:axId val="114068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745225"/>
      </c:catAx>
      <c:valAx>
        <c:axId val="286745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68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'Hasil Proses'!$C$2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Proses'!$C$3:$C$16</c:f>
              <c:numCache/>
            </c:numRef>
          </c:val>
          <c:smooth val="0"/>
        </c:ser>
        <c:ser>
          <c:idx val="1"/>
          <c:order val="1"/>
          <c:tx>
            <c:strRef>
              <c:f>'Hasil Proses'!$H$2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'Hasil Proses'!$A$3:$A$16</c:f>
            </c:strRef>
          </c:cat>
          <c:val>
            <c:numRef>
              <c:f>'Hasil Proses'!$H$3:$H$16</c:f>
              <c:numCache/>
            </c:numRef>
          </c:val>
          <c:smooth val="0"/>
        </c:ser>
        <c:axId val="566610122"/>
        <c:axId val="46855785"/>
      </c:lineChart>
      <c:catAx>
        <c:axId val="566610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55785"/>
      </c:catAx>
      <c:valAx>
        <c:axId val="46855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610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negatif vs kontrol positif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Entries'!$B$3:$B$16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Entries'!$C$3:$C$16</c:f>
              <c:numCache/>
            </c:numRef>
          </c:val>
          <c:smooth val="0"/>
        </c:ser>
        <c:axId val="547760007"/>
        <c:axId val="2127313002"/>
      </c:lineChart>
      <c:catAx>
        <c:axId val="547760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313002"/>
      </c:catAx>
      <c:valAx>
        <c:axId val="2127313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6000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C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Entries'!$D$3:$D$16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Entries'!$E$3:$E$16</c:f>
              <c:numCache/>
            </c:numRef>
          </c:val>
          <c:smooth val="0"/>
        </c:ser>
        <c:axId val="646616043"/>
        <c:axId val="956099046"/>
      </c:lineChart>
      <c:catAx>
        <c:axId val="646616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099046"/>
      </c:catAx>
      <c:valAx>
        <c:axId val="956099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61604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D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Entries'!$F$3:$F$16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Entries'!$G$3:$G$16</c:f>
              <c:numCache/>
            </c:numRef>
          </c:val>
          <c:smooth val="0"/>
        </c:ser>
        <c:axId val="1520823746"/>
        <c:axId val="146210706"/>
      </c:lineChart>
      <c:catAx>
        <c:axId val="1520823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10706"/>
      </c:catAx>
      <c:valAx>
        <c:axId val="146210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82374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Negatif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Entries'!$B$3:$B$16</c:f>
              <c:numCache/>
            </c:numRef>
          </c:val>
          <c:smooth val="0"/>
        </c:ser>
        <c:ser>
          <c:idx val="1"/>
          <c:order val="1"/>
          <c:tx>
            <c:v>Kontrol Positif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Entries'!$C$3:$C$16</c:f>
              <c:numCache/>
            </c:numRef>
          </c:val>
          <c:smooth val="0"/>
        </c:ser>
        <c:ser>
          <c:idx val="2"/>
          <c:order val="2"/>
          <c:tx>
            <c:v>NPs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Entries'!$D$3:$D$16</c:f>
              <c:numCache/>
            </c:numRef>
          </c:val>
          <c:smooth val="0"/>
        </c:ser>
        <c:ser>
          <c:idx val="3"/>
          <c:order val="3"/>
          <c:tx>
            <c:strRef>
              <c:f>'Proses Correct Entries'!$E$2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Entries'!$E$3:$E$16</c:f>
              <c:numCache/>
            </c:numRef>
          </c:val>
          <c:smooth val="0"/>
        </c:ser>
        <c:ser>
          <c:idx val="4"/>
          <c:order val="4"/>
          <c:tx>
            <c:strRef>
              <c:f>'Proses Correct Entries'!$F$2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Entries'!$F$3:$F$16</c:f>
              <c:numCache/>
            </c:numRef>
          </c:val>
          <c:smooth val="0"/>
        </c:ser>
        <c:ser>
          <c:idx val="5"/>
          <c:order val="5"/>
          <c:tx>
            <c:strRef>
              <c:f>'Proses Correct Entries'!$G$2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Entries'!$G$3:$G$16</c:f>
              <c:numCache/>
            </c:numRef>
          </c:val>
          <c:smooth val="0"/>
        </c:ser>
        <c:ser>
          <c:idx val="6"/>
          <c:order val="6"/>
          <c:tx>
            <c:strRef>
              <c:f>'Proses Correct Entries'!$H$2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Entries'!$H$3:$H$16</c:f>
              <c:numCache/>
            </c:numRef>
          </c:val>
          <c:smooth val="0"/>
        </c:ser>
        <c:axId val="616471362"/>
        <c:axId val="547553468"/>
      </c:lineChart>
      <c:catAx>
        <c:axId val="616471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553468"/>
      </c:catAx>
      <c:valAx>
        <c:axId val="547553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471362"/>
      </c:valAx>
    </c:plotArea>
    <c:legend>
      <c:legendPos val="r"/>
      <c:layout>
        <c:manualLayout>
          <c:xMode val="edge"/>
          <c:yMode val="edge"/>
          <c:x val="0.8660360880495791"/>
          <c:y val="0.12106918238993711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Entries'!$C$3:$C$16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Entries'!$E$3:$E$16</c:f>
              <c:numCache/>
            </c:numRef>
          </c:val>
          <c:smooth val="0"/>
        </c:ser>
        <c:axId val="1950209409"/>
        <c:axId val="534118309"/>
      </c:lineChart>
      <c:catAx>
        <c:axId val="1950209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118309"/>
      </c:catAx>
      <c:valAx>
        <c:axId val="534118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209409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Entries'!$C$3:$C$16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Entries'!$G$3:$G$16</c:f>
              <c:numCache/>
            </c:numRef>
          </c:val>
          <c:smooth val="0"/>
        </c:ser>
        <c:axId val="724975410"/>
        <c:axId val="953843244"/>
      </c:lineChart>
      <c:catAx>
        <c:axId val="724975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843244"/>
      </c:catAx>
      <c:valAx>
        <c:axId val="953843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97541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Donepezil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Entries'!$C$3:$C$16</c:f>
              <c:numCache/>
            </c:numRef>
          </c:val>
          <c:smooth val="0"/>
        </c:ser>
        <c:ser>
          <c:idx val="1"/>
          <c:order val="1"/>
          <c:tx>
            <c:v>Donepezil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Entries'!$H$3:$H$16</c:f>
              <c:numCache/>
            </c:numRef>
          </c:val>
          <c:smooth val="0"/>
        </c:ser>
        <c:axId val="1930848282"/>
        <c:axId val="1673797976"/>
      </c:lineChart>
      <c:catAx>
        <c:axId val="193084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797976"/>
      </c:catAx>
      <c:valAx>
        <c:axId val="1673797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848282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Entries'!$H$3:$H$16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Entries'!$E$3:$E$16</c:f>
              <c:numCache/>
            </c:numRef>
          </c:val>
          <c:smooth val="0"/>
        </c:ser>
        <c:axId val="1478324822"/>
        <c:axId val="762237385"/>
      </c:lineChart>
      <c:catAx>
        <c:axId val="1478324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237385"/>
      </c:catAx>
      <c:valAx>
        <c:axId val="762237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324822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Entries'!$H$3:$H$16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Entries'!$A$3:$A$16</c:f>
            </c:strRef>
          </c:cat>
          <c:val>
            <c:numRef>
              <c:f>'Proses Correct Entries'!$G$3:$G$16</c:f>
              <c:numCache/>
            </c:numRef>
          </c:val>
          <c:smooth val="0"/>
        </c:ser>
        <c:axId val="783384031"/>
        <c:axId val="1770977369"/>
      </c:lineChart>
      <c:catAx>
        <c:axId val="78338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977369"/>
      </c:catAx>
      <c:valAx>
        <c:axId val="1770977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384031"/>
      </c:valAx>
    </c:plotArea>
    <c:legend>
      <c:legendPos val="r"/>
      <c:layout>
        <c:manualLayout>
          <c:xMode val="edge"/>
          <c:yMode val="edge"/>
          <c:x val="0.3347024087932648"/>
          <c:y val="0.12526205450733752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negatif vs kontrol positif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 Ratio'!$B$2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Ratio'!$B$3:$B$16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 Ratio'!$C$2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Ratio'!$C$3:$C$16</c:f>
              <c:numCache/>
            </c:numRef>
          </c:val>
          <c:smooth val="0"/>
        </c:ser>
        <c:axId val="1520622811"/>
        <c:axId val="1056186254"/>
      </c:lineChart>
      <c:catAx>
        <c:axId val="152062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186254"/>
      </c:catAx>
      <c:valAx>
        <c:axId val="1056186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22811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C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 Ratio'!$D$2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Ratio'!$D$3:$D$16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 Ratio'!$E$2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Ratio'!$E$3:$E$16</c:f>
              <c:numCache/>
            </c:numRef>
          </c:val>
          <c:smooth val="0"/>
        </c:ser>
        <c:axId val="731337560"/>
        <c:axId val="1122187362"/>
      </c:lineChart>
      <c:catAx>
        <c:axId val="731337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187362"/>
      </c:catAx>
      <c:valAx>
        <c:axId val="1122187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33756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D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Correct Entries Ratio'!$F$2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Ratio'!$F$3:$F$16</c:f>
              <c:numCache/>
            </c:numRef>
          </c:val>
          <c:smooth val="0"/>
        </c:ser>
        <c:ser>
          <c:idx val="1"/>
          <c:order val="1"/>
          <c:tx>
            <c:strRef>
              <c:f>'Proses Correct Entries Ratio'!$G$2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Ratio'!$G$3:$G$16</c:f>
              <c:numCache/>
            </c:numRef>
          </c:val>
          <c:smooth val="0"/>
        </c:ser>
        <c:axId val="1707434413"/>
        <c:axId val="372101920"/>
      </c:lineChart>
      <c:catAx>
        <c:axId val="1707434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101920"/>
      </c:catAx>
      <c:valAx>
        <c:axId val="372101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43441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Negatif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Ratio'!$B$3:$B$16</c:f>
              <c:numCache/>
            </c:numRef>
          </c:val>
          <c:smooth val="0"/>
        </c:ser>
        <c:ser>
          <c:idx val="1"/>
          <c:order val="1"/>
          <c:tx>
            <c:v>Kontrol Positif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Ratio'!$C$3:$C$16</c:f>
              <c:numCache/>
            </c:numRef>
          </c:val>
          <c:smooth val="0"/>
        </c:ser>
        <c:ser>
          <c:idx val="2"/>
          <c:order val="2"/>
          <c:tx>
            <c:v>NPs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Ratio'!$D$3:$D$16</c:f>
              <c:numCache/>
            </c:numRef>
          </c:val>
          <c:smooth val="0"/>
        </c:ser>
        <c:ser>
          <c:idx val="3"/>
          <c:order val="3"/>
          <c:tx>
            <c:strRef>
              <c:f>'Proses Correct Entries Ratio'!$E$2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Ratio'!$E$3:$E$16</c:f>
              <c:numCache/>
            </c:numRef>
          </c:val>
          <c:smooth val="0"/>
        </c:ser>
        <c:ser>
          <c:idx val="4"/>
          <c:order val="4"/>
          <c:tx>
            <c:strRef>
              <c:f>'Proses Correct Entries Ratio'!$F$2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Ratio'!$F$3:$F$16</c:f>
              <c:numCache/>
            </c:numRef>
          </c:val>
          <c:smooth val="0"/>
        </c:ser>
        <c:ser>
          <c:idx val="5"/>
          <c:order val="5"/>
          <c:tx>
            <c:strRef>
              <c:f>'Proses Correct Entries Ratio'!$G$2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Ratio'!$G$3:$G$16</c:f>
              <c:numCache/>
            </c:numRef>
          </c:val>
          <c:smooth val="0"/>
        </c:ser>
        <c:ser>
          <c:idx val="6"/>
          <c:order val="6"/>
          <c:tx>
            <c:strRef>
              <c:f>'Proses Correct Entries Ratio'!$H$2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Ratio'!$H$3:$H$16</c:f>
              <c:numCache/>
            </c:numRef>
          </c:val>
          <c:smooth val="0"/>
        </c:ser>
        <c:axId val="499004589"/>
        <c:axId val="1341990192"/>
      </c:lineChart>
      <c:catAx>
        <c:axId val="49900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990192"/>
      </c:catAx>
      <c:valAx>
        <c:axId val="1341990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004589"/>
      </c:valAx>
    </c:plotArea>
    <c:legend>
      <c:legendPos val="r"/>
      <c:layout>
        <c:manualLayout>
          <c:xMode val="edge"/>
          <c:yMode val="edge"/>
          <c:x val="0.8660360880495791"/>
          <c:y val="0.12106918238993711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Ratio'!$C$3:$C$16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Ratio'!$E$3:$E$16</c:f>
              <c:numCache/>
            </c:numRef>
          </c:val>
          <c:smooth val="0"/>
        </c:ser>
        <c:axId val="1702505384"/>
        <c:axId val="588139735"/>
      </c:lineChart>
      <c:catAx>
        <c:axId val="170250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139735"/>
      </c:catAx>
      <c:valAx>
        <c:axId val="588139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505384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Ratio'!$C$3:$C$16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Ratio'!$G$3:$G$16</c:f>
              <c:numCache/>
            </c:numRef>
          </c:val>
          <c:smooth val="0"/>
        </c:ser>
        <c:axId val="474383174"/>
        <c:axId val="1720869996"/>
      </c:lineChart>
      <c:catAx>
        <c:axId val="474383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869996"/>
      </c:catAx>
      <c:valAx>
        <c:axId val="1720869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383174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Donepezil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Ratio'!$C$3:$C$16</c:f>
              <c:numCache/>
            </c:numRef>
          </c:val>
          <c:smooth val="0"/>
        </c:ser>
        <c:ser>
          <c:idx val="1"/>
          <c:order val="1"/>
          <c:tx>
            <c:v>Donepezil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Ratio'!$H$3:$H$16</c:f>
              <c:numCache/>
            </c:numRef>
          </c:val>
          <c:smooth val="0"/>
        </c:ser>
        <c:axId val="905248566"/>
        <c:axId val="1647776315"/>
      </c:lineChart>
      <c:catAx>
        <c:axId val="905248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776315"/>
      </c:catAx>
      <c:valAx>
        <c:axId val="1647776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24856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Ratio'!$H$3:$H$16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Ratio'!$E$3:$E$16</c:f>
              <c:numCache/>
            </c:numRef>
          </c:val>
          <c:smooth val="0"/>
        </c:ser>
        <c:axId val="366124256"/>
        <c:axId val="1203874322"/>
      </c:lineChart>
      <c:catAx>
        <c:axId val="36612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874322"/>
      </c:catAx>
      <c:valAx>
        <c:axId val="1203874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12425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Ratio'!$H$3:$H$16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Correct Entries Ratio'!$A$3:$A$16</c:f>
            </c:strRef>
          </c:cat>
          <c:val>
            <c:numRef>
              <c:f>'Proses Correct Entries Ratio'!$G$3:$G$16</c:f>
              <c:numCache/>
            </c:numRef>
          </c:val>
          <c:smooth val="0"/>
        </c:ser>
        <c:axId val="473286700"/>
        <c:axId val="1626480920"/>
      </c:lineChart>
      <c:catAx>
        <c:axId val="473286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80920"/>
      </c:catAx>
      <c:valAx>
        <c:axId val="1626480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86700"/>
      </c:valAx>
    </c:plotArea>
    <c:legend>
      <c:legendPos val="r"/>
      <c:layout>
        <c:manualLayout>
          <c:xMode val="edge"/>
          <c:yMode val="edge"/>
          <c:x val="0.3347024087932648"/>
          <c:y val="0.12526205450733752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negatif vs kontrol positif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Memory Error'!$B$2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Error'!$B$3:$B$16</c:f>
              <c:numCache/>
            </c:numRef>
          </c:val>
          <c:smooth val="0"/>
        </c:ser>
        <c:ser>
          <c:idx val="1"/>
          <c:order val="1"/>
          <c:tx>
            <c:strRef>
              <c:f>'Proses Memory Error'!$C$2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Error'!$C$3:$C$16</c:f>
              <c:numCache/>
            </c:numRef>
          </c:val>
          <c:smooth val="0"/>
        </c:ser>
        <c:axId val="347036684"/>
        <c:axId val="1370156024"/>
      </c:lineChart>
      <c:catAx>
        <c:axId val="347036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156024"/>
      </c:catAx>
      <c:valAx>
        <c:axId val="1370156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036684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C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Memory Error'!$D$2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Error'!$D$3:$D$16</c:f>
              <c:numCache/>
            </c:numRef>
          </c:val>
          <c:smooth val="0"/>
        </c:ser>
        <c:ser>
          <c:idx val="1"/>
          <c:order val="1"/>
          <c:tx>
            <c:strRef>
              <c:f>'Proses Memory Error'!$E$2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Error'!$E$3:$E$16</c:f>
              <c:numCache/>
            </c:numRef>
          </c:val>
          <c:smooth val="0"/>
        </c:ser>
        <c:axId val="527957101"/>
        <c:axId val="1613416503"/>
      </c:lineChart>
      <c:catAx>
        <c:axId val="527957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416503"/>
      </c:catAx>
      <c:valAx>
        <c:axId val="1613416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957101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D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Memory Error'!$F$2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Error'!$F$3:$F$16</c:f>
              <c:numCache/>
            </c:numRef>
          </c:val>
          <c:smooth val="0"/>
        </c:ser>
        <c:ser>
          <c:idx val="1"/>
          <c:order val="1"/>
          <c:tx>
            <c:strRef>
              <c:f>'Proses Memory Error'!$G$2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Error'!$G$3:$G$16</c:f>
              <c:numCache/>
            </c:numRef>
          </c:val>
          <c:smooth val="0"/>
        </c:ser>
        <c:axId val="881716407"/>
        <c:axId val="14913113"/>
      </c:lineChart>
      <c:catAx>
        <c:axId val="881716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3113"/>
      </c:catAx>
      <c:valAx>
        <c:axId val="14913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71640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Negatif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Error'!$B$3:$B$16</c:f>
              <c:numCache/>
            </c:numRef>
          </c:val>
          <c:smooth val="0"/>
        </c:ser>
        <c:ser>
          <c:idx val="1"/>
          <c:order val="1"/>
          <c:tx>
            <c:v>Kontrol Positif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Error'!$C$3:$C$16</c:f>
              <c:numCache/>
            </c:numRef>
          </c:val>
          <c:smooth val="0"/>
        </c:ser>
        <c:ser>
          <c:idx val="2"/>
          <c:order val="2"/>
          <c:tx>
            <c:v>NPs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Error'!$D$3:$D$16</c:f>
              <c:numCache/>
            </c:numRef>
          </c:val>
          <c:smooth val="0"/>
        </c:ser>
        <c:ser>
          <c:idx val="3"/>
          <c:order val="3"/>
          <c:tx>
            <c:strRef>
              <c:f>'Proses Memory Error'!$E$2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Error'!$E$3:$E$16</c:f>
              <c:numCache/>
            </c:numRef>
          </c:val>
          <c:smooth val="0"/>
        </c:ser>
        <c:ser>
          <c:idx val="4"/>
          <c:order val="4"/>
          <c:tx>
            <c:strRef>
              <c:f>'Proses Memory Error'!$F$2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Error'!$F$3:$F$16</c:f>
              <c:numCache/>
            </c:numRef>
          </c:val>
          <c:smooth val="0"/>
        </c:ser>
        <c:ser>
          <c:idx val="5"/>
          <c:order val="5"/>
          <c:tx>
            <c:strRef>
              <c:f>'Proses Memory Error'!$G$2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Error'!$G$3:$G$16</c:f>
              <c:numCache/>
            </c:numRef>
          </c:val>
          <c:smooth val="0"/>
        </c:ser>
        <c:ser>
          <c:idx val="6"/>
          <c:order val="6"/>
          <c:tx>
            <c:strRef>
              <c:f>'Proses Memory Error'!$H$2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Error'!$H$3:$H$16</c:f>
              <c:numCache/>
            </c:numRef>
          </c:val>
          <c:smooth val="0"/>
        </c:ser>
        <c:axId val="387920880"/>
        <c:axId val="1016673078"/>
      </c:lineChart>
      <c:catAx>
        <c:axId val="38792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673078"/>
      </c:catAx>
      <c:valAx>
        <c:axId val="1016673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920880"/>
      </c:valAx>
    </c:plotArea>
    <c:legend>
      <c:legendPos val="r"/>
      <c:layout>
        <c:manualLayout>
          <c:xMode val="edge"/>
          <c:yMode val="edge"/>
          <c:x val="0.8660360880495791"/>
          <c:y val="0.12106918238993711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Error'!$C$3:$C$16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Error'!$E$3:$E$16</c:f>
              <c:numCache/>
            </c:numRef>
          </c:val>
          <c:smooth val="0"/>
        </c:ser>
        <c:axId val="1313677491"/>
        <c:axId val="356129592"/>
      </c:lineChart>
      <c:catAx>
        <c:axId val="1313677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129592"/>
      </c:catAx>
      <c:valAx>
        <c:axId val="356129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677491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Error'!$C$3:$C$16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Error'!$G$3:$G$16</c:f>
              <c:numCache/>
            </c:numRef>
          </c:val>
          <c:smooth val="0"/>
        </c:ser>
        <c:axId val="1202871372"/>
        <c:axId val="345667132"/>
      </c:lineChart>
      <c:catAx>
        <c:axId val="1202871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67132"/>
      </c:catAx>
      <c:valAx>
        <c:axId val="345667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871372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Donepezil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Error'!$C$3:$C$16</c:f>
              <c:numCache/>
            </c:numRef>
          </c:val>
          <c:smooth val="0"/>
        </c:ser>
        <c:ser>
          <c:idx val="1"/>
          <c:order val="1"/>
          <c:tx>
            <c:v>Donepezil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Error'!$H$3:$H$16</c:f>
              <c:numCache/>
            </c:numRef>
          </c:val>
          <c:smooth val="0"/>
        </c:ser>
        <c:axId val="1981500083"/>
        <c:axId val="1384968610"/>
      </c:lineChart>
      <c:catAx>
        <c:axId val="1981500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968610"/>
      </c:catAx>
      <c:valAx>
        <c:axId val="1384968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50008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Error'!$H$3:$H$16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Error'!$E$3:$E$16</c:f>
              <c:numCache/>
            </c:numRef>
          </c:val>
          <c:smooth val="0"/>
        </c:ser>
        <c:axId val="452388324"/>
        <c:axId val="1252180292"/>
      </c:lineChart>
      <c:catAx>
        <c:axId val="452388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180292"/>
      </c:catAx>
      <c:valAx>
        <c:axId val="1252180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388324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Error'!$H$3:$H$16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Memory Error'!$A$3:$A$16</c:f>
            </c:strRef>
          </c:cat>
          <c:val>
            <c:numRef>
              <c:f>'Proses Memory Error'!$G$3:$G$16</c:f>
              <c:numCache/>
            </c:numRef>
          </c:val>
          <c:smooth val="0"/>
        </c:ser>
        <c:axId val="1292927574"/>
        <c:axId val="1202026402"/>
      </c:lineChart>
      <c:catAx>
        <c:axId val="1292927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026402"/>
      </c:catAx>
      <c:valAx>
        <c:axId val="1202026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927574"/>
      </c:valAx>
    </c:plotArea>
    <c:legend>
      <c:legendPos val="r"/>
      <c:layout>
        <c:manualLayout>
          <c:xMode val="edge"/>
          <c:yMode val="edge"/>
          <c:x val="0.3347024087932648"/>
          <c:y val="0.12526205450733752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negatif vs kontrol positif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Duration'!$B$2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Duration'!$B$3:$B$16</c:f>
              <c:numCache/>
            </c:numRef>
          </c:val>
          <c:smooth val="0"/>
        </c:ser>
        <c:ser>
          <c:idx val="1"/>
          <c:order val="1"/>
          <c:tx>
            <c:strRef>
              <c:f>'Proses Duration'!$C$2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Duration'!$C$3:$C$16</c:f>
              <c:numCache/>
            </c:numRef>
          </c:val>
          <c:smooth val="0"/>
        </c:ser>
        <c:axId val="1142939459"/>
        <c:axId val="156662204"/>
      </c:lineChart>
      <c:catAx>
        <c:axId val="1142939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62204"/>
      </c:catAx>
      <c:valAx>
        <c:axId val="156662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939459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C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Duration'!$D$2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Duration'!$D$3:$D$16</c:f>
              <c:numCache/>
            </c:numRef>
          </c:val>
          <c:smooth val="0"/>
        </c:ser>
        <c:ser>
          <c:idx val="1"/>
          <c:order val="1"/>
          <c:tx>
            <c:strRef>
              <c:f>'Proses Duration'!$E$2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Duration'!$E$3:$E$16</c:f>
              <c:numCache/>
            </c:numRef>
          </c:val>
          <c:smooth val="0"/>
        </c:ser>
        <c:axId val="28343965"/>
        <c:axId val="1783581144"/>
      </c:lineChart>
      <c:catAx>
        <c:axId val="28343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581144"/>
      </c:catAx>
      <c:valAx>
        <c:axId val="1783581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43965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Kelompok D (NPs vs CM)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'Proses Duration'!$F$2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Duration'!$F$3:$F$16</c:f>
              <c:numCache/>
            </c:numRef>
          </c:val>
          <c:smooth val="0"/>
        </c:ser>
        <c:ser>
          <c:idx val="1"/>
          <c:order val="1"/>
          <c:tx>
            <c:strRef>
              <c:f>'Proses Duration'!$G$2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Duration'!$G$3:$G$16</c:f>
              <c:numCache/>
            </c:numRef>
          </c:val>
          <c:smooth val="0"/>
        </c:ser>
        <c:axId val="1519058753"/>
        <c:axId val="383295093"/>
      </c:lineChart>
      <c:catAx>
        <c:axId val="1519058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295093"/>
      </c:catAx>
      <c:valAx>
        <c:axId val="383295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05875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Grafik Data Penelitian RAM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Negatif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Duration'!$B$3:$B$16</c:f>
              <c:numCache/>
            </c:numRef>
          </c:val>
          <c:smooth val="0"/>
        </c:ser>
        <c:ser>
          <c:idx val="1"/>
          <c:order val="1"/>
          <c:tx>
            <c:v>Kontrol Positif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Duration'!$C$3:$C$16</c:f>
              <c:numCache/>
            </c:numRef>
          </c:val>
          <c:smooth val="0"/>
        </c:ser>
        <c:ser>
          <c:idx val="2"/>
          <c:order val="2"/>
          <c:tx>
            <c:v>NPs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Duration'!$D$3:$D$16</c:f>
              <c:numCache/>
            </c:numRef>
          </c:val>
          <c:smooth val="0"/>
        </c:ser>
        <c:ser>
          <c:idx val="3"/>
          <c:order val="3"/>
          <c:tx>
            <c:strRef>
              <c:f>'Proses Duration'!$E$2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Duration'!$E$3:$E$16</c:f>
              <c:numCache/>
            </c:numRef>
          </c:val>
          <c:smooth val="0"/>
        </c:ser>
        <c:ser>
          <c:idx val="4"/>
          <c:order val="4"/>
          <c:tx>
            <c:strRef>
              <c:f>'Proses Duration'!$F$2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Duration'!$F$3:$F$16</c:f>
              <c:numCache/>
            </c:numRef>
          </c:val>
          <c:smooth val="0"/>
        </c:ser>
        <c:ser>
          <c:idx val="5"/>
          <c:order val="5"/>
          <c:tx>
            <c:strRef>
              <c:f>'Proses Duration'!$G$2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Duration'!$G$3:$G$16</c:f>
              <c:numCache/>
            </c:numRef>
          </c:val>
          <c:smooth val="0"/>
        </c:ser>
        <c:ser>
          <c:idx val="6"/>
          <c:order val="6"/>
          <c:tx>
            <c:strRef>
              <c:f>'Proses Duration'!$H$2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Duration'!$H$3:$H$16</c:f>
              <c:numCache/>
            </c:numRef>
          </c:val>
          <c:smooth val="0"/>
        </c:ser>
        <c:axId val="506134534"/>
        <c:axId val="899973256"/>
      </c:lineChart>
      <c:catAx>
        <c:axId val="506134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973256"/>
      </c:catAx>
      <c:valAx>
        <c:axId val="89997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134534"/>
      </c:valAx>
    </c:plotArea>
    <c:legend>
      <c:legendPos val="r"/>
      <c:layout>
        <c:manualLayout>
          <c:xMode val="edge"/>
          <c:yMode val="edge"/>
          <c:x val="0.8660360880495791"/>
          <c:y val="0.12106918238993711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Duration'!$C$3:$C$16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Duration'!$E$3:$E$16</c:f>
              <c:numCache/>
            </c:numRef>
          </c:val>
          <c:smooth val="0"/>
        </c:ser>
        <c:axId val="729831450"/>
        <c:axId val="1083680712"/>
      </c:lineChart>
      <c:catAx>
        <c:axId val="729831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680712"/>
      </c:catAx>
      <c:valAx>
        <c:axId val="1083680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831450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Duration'!$C$3:$C$16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Duration'!$G$3:$G$16</c:f>
              <c:numCache/>
            </c:numRef>
          </c:val>
          <c:smooth val="0"/>
        </c:ser>
        <c:axId val="1163066358"/>
        <c:axId val="941927319"/>
      </c:lineChart>
      <c:catAx>
        <c:axId val="1163066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927319"/>
      </c:catAx>
      <c:valAx>
        <c:axId val="941927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066358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Kontrol positif vs Donepezil</a:t>
            </a:r>
          </a:p>
        </c:rich>
      </c:tx>
      <c:overlay val="0"/>
    </c:title>
    <c:plotArea>
      <c:layout/>
      <c:lineChart>
        <c:ser>
          <c:idx val="0"/>
          <c:order val="0"/>
          <c:tx>
            <c:v>Kontrol Positif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Duration'!$C$3:$C$16</c:f>
              <c:numCache/>
            </c:numRef>
          </c:val>
          <c:smooth val="0"/>
        </c:ser>
        <c:ser>
          <c:idx val="1"/>
          <c:order val="1"/>
          <c:tx>
            <c:v>Donepezil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Duration'!$H$3:$H$16</c:f>
              <c:numCache/>
            </c:numRef>
          </c:val>
          <c:smooth val="0"/>
        </c:ser>
        <c:axId val="1837875967"/>
        <c:axId val="1218383249"/>
      </c:lineChart>
      <c:catAx>
        <c:axId val="183787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383249"/>
      </c:catAx>
      <c:valAx>
        <c:axId val="1218383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87596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0,2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Duration'!$H$3:$H$16</c:f>
              <c:numCache/>
            </c:numRef>
          </c:val>
          <c:smooth val="0"/>
        </c:ser>
        <c:ser>
          <c:idx val="1"/>
          <c:order val="1"/>
          <c:tx>
            <c:v>NPs 0,2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Duration'!$D$3:$D$16</c:f>
              <c:numCache/>
            </c:numRef>
          </c:val>
          <c:smooth val="0"/>
        </c:ser>
        <c:ser>
          <c:idx val="2"/>
          <c:order val="2"/>
          <c:tx>
            <c:v>CM 0,2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Duration'!$E$3:$E$16</c:f>
              <c:numCache/>
            </c:numRef>
          </c:val>
          <c:smooth val="0"/>
        </c:ser>
        <c:axId val="631969623"/>
        <c:axId val="1717921381"/>
      </c:lineChart>
      <c:catAx>
        <c:axId val="631969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921381"/>
      </c:catAx>
      <c:valAx>
        <c:axId val="1717921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96962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Donepezil vs BUMSC 0,1 ml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Donepezil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Duration'!$H$3:$H$16</c:f>
              <c:numCache/>
            </c:numRef>
          </c:val>
          <c:smooth val="0"/>
        </c:ser>
        <c:ser>
          <c:idx val="1"/>
          <c:order val="1"/>
          <c:tx>
            <c:v>NPs 0,1 ml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Duration'!$F$3:$F$16</c:f>
              <c:numCache/>
            </c:numRef>
          </c:val>
          <c:smooth val="0"/>
        </c:ser>
        <c:ser>
          <c:idx val="2"/>
          <c:order val="2"/>
          <c:tx>
            <c:v>CM 0,1 ml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'Proses Duration'!$A$3:$A$16</c:f>
            </c:strRef>
          </c:cat>
          <c:val>
            <c:numRef>
              <c:f>'Proses Duration'!$G$3:$G$16</c:f>
              <c:numCache/>
            </c:numRef>
          </c:val>
          <c:smooth val="0"/>
        </c:ser>
        <c:axId val="1930079376"/>
        <c:axId val="1637056150"/>
      </c:lineChart>
      <c:catAx>
        <c:axId val="193007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056150"/>
      </c:catAx>
      <c:valAx>
        <c:axId val="1637056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079376"/>
      </c:valAx>
    </c:plotArea>
    <c:legend>
      <c:legendPos val="r"/>
      <c:layout>
        <c:manualLayout>
          <c:xMode val="edge"/>
          <c:yMode val="edge"/>
          <c:x val="0.3347024087932648"/>
          <c:y val="0.12526205450733752"/>
        </c:manualLayout>
      </c:layout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Relationship Id="rId5" Type="http://schemas.openxmlformats.org/officeDocument/2006/relationships/chart" Target="../charts/chart30.xml"/><Relationship Id="rId6" Type="http://schemas.openxmlformats.org/officeDocument/2006/relationships/chart" Target="../charts/chart31.xml"/><Relationship Id="rId7" Type="http://schemas.openxmlformats.org/officeDocument/2006/relationships/chart" Target="../charts/chart32.xml"/><Relationship Id="rId8" Type="http://schemas.openxmlformats.org/officeDocument/2006/relationships/chart" Target="../charts/chart3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Relationship Id="rId5" Type="http://schemas.openxmlformats.org/officeDocument/2006/relationships/chart" Target="../charts/chart39.xml"/><Relationship Id="rId6" Type="http://schemas.openxmlformats.org/officeDocument/2006/relationships/chart" Target="../charts/chart40.xml"/><Relationship Id="rId7" Type="http://schemas.openxmlformats.org/officeDocument/2006/relationships/chart" Target="../charts/chart41.xml"/><Relationship Id="rId8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16</xdr:row>
      <xdr:rowOff>133350</xdr:rowOff>
    </xdr:from>
    <xdr:ext cx="9791700" cy="4543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41</xdr:row>
      <xdr:rowOff>171450</xdr:rowOff>
    </xdr:from>
    <xdr:ext cx="9791700" cy="4705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42</xdr:row>
      <xdr:rowOff>57150</xdr:rowOff>
    </xdr:from>
    <xdr:ext cx="9791700" cy="4543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</xdr:row>
      <xdr:rowOff>133350</xdr:rowOff>
    </xdr:from>
    <xdr:ext cx="10182225" cy="4543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180975</xdr:rowOff>
    </xdr:from>
    <xdr:ext cx="10182225" cy="4543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323850</xdr:colOff>
      <xdr:row>67</xdr:row>
      <xdr:rowOff>171450</xdr:rowOff>
    </xdr:from>
    <xdr:ext cx="10182225" cy="4543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28575</xdr:rowOff>
    </xdr:from>
    <xdr:ext cx="10182225" cy="4543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16</xdr:row>
      <xdr:rowOff>133350</xdr:rowOff>
    </xdr:from>
    <xdr:ext cx="9791700" cy="45434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40</xdr:row>
      <xdr:rowOff>38100</xdr:rowOff>
    </xdr:from>
    <xdr:ext cx="9791700" cy="47053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42</xdr:row>
      <xdr:rowOff>57150</xdr:rowOff>
    </xdr:from>
    <xdr:ext cx="9791700" cy="4543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</xdr:row>
      <xdr:rowOff>133350</xdr:rowOff>
    </xdr:from>
    <xdr:ext cx="10182225" cy="45434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180975</xdr:rowOff>
    </xdr:from>
    <xdr:ext cx="10182225" cy="45434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323850</xdr:colOff>
      <xdr:row>67</xdr:row>
      <xdr:rowOff>171450</xdr:rowOff>
    </xdr:from>
    <xdr:ext cx="10182225" cy="45434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28575</xdr:rowOff>
    </xdr:from>
    <xdr:ext cx="10182225" cy="45434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116</xdr:row>
      <xdr:rowOff>190500</xdr:rowOff>
    </xdr:from>
    <xdr:ext cx="10182225" cy="45434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140</xdr:row>
      <xdr:rowOff>152400</xdr:rowOff>
    </xdr:from>
    <xdr:ext cx="10182225" cy="45434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16</xdr:row>
      <xdr:rowOff>133350</xdr:rowOff>
    </xdr:from>
    <xdr:ext cx="9791700" cy="45434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40</xdr:row>
      <xdr:rowOff>38100</xdr:rowOff>
    </xdr:from>
    <xdr:ext cx="9791700" cy="47053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42</xdr:row>
      <xdr:rowOff>57150</xdr:rowOff>
    </xdr:from>
    <xdr:ext cx="9791700" cy="45434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</xdr:row>
      <xdr:rowOff>133350</xdr:rowOff>
    </xdr:from>
    <xdr:ext cx="10182225" cy="45434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180975</xdr:rowOff>
    </xdr:from>
    <xdr:ext cx="10182225" cy="45434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323850</xdr:colOff>
      <xdr:row>67</xdr:row>
      <xdr:rowOff>171450</xdr:rowOff>
    </xdr:from>
    <xdr:ext cx="10182225" cy="45434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28575</xdr:rowOff>
    </xdr:from>
    <xdr:ext cx="10182225" cy="45434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116</xdr:row>
      <xdr:rowOff>190500</xdr:rowOff>
    </xdr:from>
    <xdr:ext cx="10182225" cy="45434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140</xdr:row>
      <xdr:rowOff>152400</xdr:rowOff>
    </xdr:from>
    <xdr:ext cx="10182225" cy="45434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16</xdr:row>
      <xdr:rowOff>133350</xdr:rowOff>
    </xdr:from>
    <xdr:ext cx="9791700" cy="45434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40</xdr:row>
      <xdr:rowOff>38100</xdr:rowOff>
    </xdr:from>
    <xdr:ext cx="9791700" cy="47053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42</xdr:row>
      <xdr:rowOff>57150</xdr:rowOff>
    </xdr:from>
    <xdr:ext cx="9791700" cy="45434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</xdr:row>
      <xdr:rowOff>133350</xdr:rowOff>
    </xdr:from>
    <xdr:ext cx="10182225" cy="45434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180975</xdr:rowOff>
    </xdr:from>
    <xdr:ext cx="10182225" cy="45434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323850</xdr:colOff>
      <xdr:row>67</xdr:row>
      <xdr:rowOff>171450</xdr:rowOff>
    </xdr:from>
    <xdr:ext cx="10182225" cy="45434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28575</xdr:rowOff>
    </xdr:from>
    <xdr:ext cx="10182225" cy="454342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116</xdr:row>
      <xdr:rowOff>190500</xdr:rowOff>
    </xdr:from>
    <xdr:ext cx="10182225" cy="454342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140</xdr:row>
      <xdr:rowOff>152400</xdr:rowOff>
    </xdr:from>
    <xdr:ext cx="10182225" cy="454342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16</xdr:row>
      <xdr:rowOff>133350</xdr:rowOff>
    </xdr:from>
    <xdr:ext cx="9791700" cy="454342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40</xdr:row>
      <xdr:rowOff>38100</xdr:rowOff>
    </xdr:from>
    <xdr:ext cx="9791700" cy="47053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42</xdr:row>
      <xdr:rowOff>57150</xdr:rowOff>
    </xdr:from>
    <xdr:ext cx="9791700" cy="454342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</xdr:row>
      <xdr:rowOff>133350</xdr:rowOff>
    </xdr:from>
    <xdr:ext cx="10182225" cy="454342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180975</xdr:rowOff>
    </xdr:from>
    <xdr:ext cx="10182225" cy="454342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323850</xdr:colOff>
      <xdr:row>67</xdr:row>
      <xdr:rowOff>171450</xdr:rowOff>
    </xdr:from>
    <xdr:ext cx="10182225" cy="45434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93</xdr:row>
      <xdr:rowOff>28575</xdr:rowOff>
    </xdr:from>
    <xdr:ext cx="10182225" cy="454342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116</xdr:row>
      <xdr:rowOff>190500</xdr:rowOff>
    </xdr:from>
    <xdr:ext cx="10182225" cy="4543425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140</xdr:row>
      <xdr:rowOff>152400</xdr:rowOff>
    </xdr:from>
    <xdr:ext cx="10182225" cy="4543425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H16" displayName="Hasil" name="Hasil" id="1">
  <tableColumns count="8">
    <tableColumn name="Hari" id="1"/>
    <tableColumn name="Kelompok A" id="2"/>
    <tableColumn name="Kelompok B" id="3"/>
    <tableColumn name="Kelompok C (NPs)" id="4"/>
    <tableColumn name="Kelompok C (CM)" id="5"/>
    <tableColumn name="Kelompok D (NPs)" id="6"/>
    <tableColumn name="Kelompok D (CM)" id="7"/>
    <tableColumn name="Kelompok E" id="8"/>
  </tableColumns>
  <tableStyleInfo name="Hasil Proses-style" showColumnStripes="0" showFirstColumn="1" showLastColumn="1" showRowStripes="1"/>
</table>
</file>

<file path=xl/tables/table2.xml><?xml version="1.0" encoding="utf-8"?>
<table xmlns="http://schemas.openxmlformats.org/spreadsheetml/2006/main" ref="A2:H16" displayName="Hasil_2" name="Hasil_2" id="2">
  <tableColumns count="8">
    <tableColumn name="Hari" id="1"/>
    <tableColumn name="Kontrol Negatif" id="2"/>
    <tableColumn name="Kontrol Positif" id="3"/>
    <tableColumn name="NPs 0,2 ml" id="4"/>
    <tableColumn name="CM 0,2 ml" id="5"/>
    <tableColumn name="NPs 0,1 ml" id="6"/>
    <tableColumn name="CM 0,1 ml" id="7"/>
    <tableColumn name="Donepezil" id="8"/>
  </tableColumns>
  <tableStyleInfo name="Proses Correct Entries-style" showColumnStripes="0" showFirstColumn="1" showLastColumn="1" showRowStripes="1"/>
</table>
</file>

<file path=xl/tables/table3.xml><?xml version="1.0" encoding="utf-8"?>
<table xmlns="http://schemas.openxmlformats.org/spreadsheetml/2006/main" ref="A2:H16" displayName="Hasil_3" name="Hasil_3" id="3">
  <tableColumns count="8">
    <tableColumn name="Hari" id="1"/>
    <tableColumn name="Kontrol Negatif" id="2"/>
    <tableColumn name="Kontrol Positif" id="3"/>
    <tableColumn name="NPs 0,2 ml" id="4"/>
    <tableColumn name="CM 0,2 ml" id="5"/>
    <tableColumn name="NPs 0,1 ml" id="6"/>
    <tableColumn name="CM 0,1 ml" id="7"/>
    <tableColumn name="Donepezil" id="8"/>
  </tableColumns>
  <tableStyleInfo name="Proses Correct Entries Ratio-style" showColumnStripes="0" showFirstColumn="1" showLastColumn="1" showRowStripes="1"/>
</table>
</file>

<file path=xl/tables/table4.xml><?xml version="1.0" encoding="utf-8"?>
<table xmlns="http://schemas.openxmlformats.org/spreadsheetml/2006/main" ref="A2:H16" displayName="Hasil_4" name="Hasil_4" id="4">
  <tableColumns count="8">
    <tableColumn name="Hari" id="1"/>
    <tableColumn name="Kontrol Negatif" id="2"/>
    <tableColumn name="Kontrol Positif" id="3"/>
    <tableColumn name="NPs 0,2 ml" id="4"/>
    <tableColumn name="CM 0,2 ml" id="5"/>
    <tableColumn name="NPs 0,1 ml" id="6"/>
    <tableColumn name="CM 0,1 ml" id="7"/>
    <tableColumn name="Donepezil" id="8"/>
  </tableColumns>
  <tableStyleInfo name="Proses Memory Error-style" showColumnStripes="0" showFirstColumn="1" showLastColumn="1" showRowStripes="1"/>
</table>
</file>

<file path=xl/tables/table5.xml><?xml version="1.0" encoding="utf-8"?>
<table xmlns="http://schemas.openxmlformats.org/spreadsheetml/2006/main" ref="A2:H16" displayName="Hasil_5" name="Hasil_5" id="5">
  <tableColumns count="8">
    <tableColumn name="Hari" id="1"/>
    <tableColumn name="Kontrol Negatif" id="2"/>
    <tableColumn name="Kontrol Positif" id="3"/>
    <tableColumn name="NPs 0,2 ml" id="4"/>
    <tableColumn name="CM 0,2 ml" id="5"/>
    <tableColumn name="NPs 0,1 ml" id="6"/>
    <tableColumn name="CM 0,1 ml" id="7"/>
    <tableColumn name="Donepezil" id="8"/>
  </tableColumns>
  <tableStyleInfo name="Proses Dur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31.75"/>
    <col customWidth="1" min="3" max="5" width="10.63"/>
    <col customWidth="1" min="6" max="22" width="9.5"/>
  </cols>
  <sheetData>
    <row r="1" ht="43.5" customHeight="1">
      <c r="A1" s="1" t="s">
        <v>0</v>
      </c>
      <c r="B1" s="1" t="s">
        <v>1</v>
      </c>
      <c r="C1" s="2" t="s">
        <v>2</v>
      </c>
      <c r="G1" s="2" t="s">
        <v>3</v>
      </c>
      <c r="K1" s="2" t="s">
        <v>4</v>
      </c>
      <c r="O1" s="3" t="s">
        <v>5</v>
      </c>
      <c r="S1" s="4" t="s">
        <v>6</v>
      </c>
    </row>
    <row r="2" ht="29.25" customHeight="1">
      <c r="C2" s="5" t="s">
        <v>7</v>
      </c>
      <c r="D2" s="5" t="s">
        <v>8</v>
      </c>
      <c r="E2" s="5" t="s">
        <v>9</v>
      </c>
      <c r="F2" s="5" t="s">
        <v>10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7</v>
      </c>
      <c r="T2" s="6" t="s">
        <v>8</v>
      </c>
      <c r="U2" s="6" t="s">
        <v>9</v>
      </c>
      <c r="V2" s="6" t="s">
        <v>10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5" t="s">
        <v>11</v>
      </c>
      <c r="B3" s="8" t="s">
        <v>12</v>
      </c>
      <c r="C3" s="5" t="s">
        <v>13</v>
      </c>
      <c r="D3" s="9">
        <v>8.0</v>
      </c>
      <c r="E3" s="9">
        <v>10.0</v>
      </c>
      <c r="F3" s="9">
        <f t="shared" ref="F3:F6" si="1">DIVIDE(MINUS(D3,E3),SUM(D3:E3))</f>
        <v>-0.1111111111</v>
      </c>
      <c r="G3" s="10" t="s">
        <v>14</v>
      </c>
      <c r="H3" s="11">
        <v>0.0</v>
      </c>
      <c r="I3" s="11">
        <v>0.0</v>
      </c>
      <c r="J3" s="12">
        <v>0.0</v>
      </c>
      <c r="K3" s="10" t="s">
        <v>15</v>
      </c>
      <c r="L3" s="11">
        <v>8.0</v>
      </c>
      <c r="M3" s="11">
        <v>5.0</v>
      </c>
      <c r="N3" s="13">
        <f t="shared" ref="N3:N6" si="2">DIVIDE(MINUS(L3,M3),SUM(L3:M3))</f>
        <v>0.2307692308</v>
      </c>
      <c r="O3" s="10" t="s">
        <v>16</v>
      </c>
      <c r="P3" s="11">
        <v>7.0</v>
      </c>
      <c r="Q3" s="11">
        <v>8.0</v>
      </c>
      <c r="R3" s="13">
        <f t="shared" ref="R3:R6" si="3">DIVIDE(MINUS(P3,Q3),SUM(P3:Q3))</f>
        <v>-0.06666666667</v>
      </c>
      <c r="S3" s="10" t="s">
        <v>17</v>
      </c>
      <c r="T3" s="11">
        <v>7.0</v>
      </c>
      <c r="U3" s="11">
        <v>10.0</v>
      </c>
      <c r="V3" s="13">
        <f t="shared" ref="V3:V6" si="4">DIVIDE(MINUS(T3,U3),SUM(T3:U3))</f>
        <v>-0.1764705882</v>
      </c>
      <c r="X3" s="14">
        <f>AVERAGE(N3:N4)</f>
        <v>0.1987179487</v>
      </c>
      <c r="AB3" s="14">
        <f>AVERAGE(R3:R4)</f>
        <v>0.1333333333</v>
      </c>
    </row>
    <row r="4">
      <c r="C4" s="5" t="s">
        <v>18</v>
      </c>
      <c r="D4" s="9">
        <v>8.0</v>
      </c>
      <c r="E4" s="9">
        <v>2.0</v>
      </c>
      <c r="F4" s="9">
        <f t="shared" si="1"/>
        <v>0.6</v>
      </c>
      <c r="G4" s="10" t="s">
        <v>19</v>
      </c>
      <c r="H4" s="11">
        <v>8.0</v>
      </c>
      <c r="I4" s="11">
        <v>3.0</v>
      </c>
      <c r="J4" s="13">
        <f t="shared" ref="J4:J6" si="5">DIVIDE(MINUS(H4,I4),SUM(H4:I4))</f>
        <v>0.4545454545</v>
      </c>
      <c r="K4" s="10" t="s">
        <v>20</v>
      </c>
      <c r="L4" s="11">
        <v>7.0</v>
      </c>
      <c r="M4" s="11">
        <v>5.0</v>
      </c>
      <c r="N4" s="13">
        <f t="shared" si="2"/>
        <v>0.1666666667</v>
      </c>
      <c r="O4" s="10" t="s">
        <v>21</v>
      </c>
      <c r="P4" s="11">
        <v>8.0</v>
      </c>
      <c r="Q4" s="11">
        <v>4.0</v>
      </c>
      <c r="R4" s="13">
        <f t="shared" si="3"/>
        <v>0.3333333333</v>
      </c>
      <c r="S4" s="10" t="s">
        <v>22</v>
      </c>
      <c r="T4" s="11">
        <v>8.0</v>
      </c>
      <c r="U4" s="11">
        <v>2.0</v>
      </c>
      <c r="V4" s="13">
        <f t="shared" si="4"/>
        <v>0.6</v>
      </c>
    </row>
    <row r="5">
      <c r="C5" s="5" t="s">
        <v>23</v>
      </c>
      <c r="D5" s="9">
        <v>5.0</v>
      </c>
      <c r="E5" s="9">
        <v>3.0</v>
      </c>
      <c r="F5" s="9">
        <f t="shared" si="1"/>
        <v>0.25</v>
      </c>
      <c r="G5" s="10" t="s">
        <v>24</v>
      </c>
      <c r="H5" s="11">
        <v>8.0</v>
      </c>
      <c r="I5" s="11">
        <v>5.0</v>
      </c>
      <c r="J5" s="13">
        <f t="shared" si="5"/>
        <v>0.2307692308</v>
      </c>
      <c r="K5" s="10" t="s">
        <v>25</v>
      </c>
      <c r="L5" s="11">
        <v>8.0</v>
      </c>
      <c r="M5" s="11">
        <v>5.0</v>
      </c>
      <c r="N5" s="13">
        <f t="shared" si="2"/>
        <v>0.2307692308</v>
      </c>
      <c r="O5" s="10" t="s">
        <v>26</v>
      </c>
      <c r="P5" s="11">
        <v>8.0</v>
      </c>
      <c r="Q5" s="11">
        <v>5.0</v>
      </c>
      <c r="R5" s="13">
        <f t="shared" si="3"/>
        <v>0.2307692308</v>
      </c>
      <c r="S5" s="10" t="s">
        <v>27</v>
      </c>
      <c r="T5" s="11">
        <v>8.0</v>
      </c>
      <c r="U5" s="11">
        <v>5.0</v>
      </c>
      <c r="V5" s="13">
        <f t="shared" si="4"/>
        <v>0.2307692308</v>
      </c>
      <c r="X5" s="14">
        <f>AVERAGE(N5:N6)</f>
        <v>0.2153846154</v>
      </c>
      <c r="AB5" s="14">
        <f>AVERAGE(R5:R6)</f>
        <v>0.1987179487</v>
      </c>
    </row>
    <row r="6">
      <c r="C6" s="5" t="s">
        <v>28</v>
      </c>
      <c r="D6" s="9">
        <v>8.0</v>
      </c>
      <c r="E6" s="9">
        <v>3.0</v>
      </c>
      <c r="F6" s="9">
        <f t="shared" si="1"/>
        <v>0.4545454545</v>
      </c>
      <c r="G6" s="10" t="s">
        <v>29</v>
      </c>
      <c r="H6" s="11">
        <v>5.0</v>
      </c>
      <c r="I6" s="11">
        <v>3.0</v>
      </c>
      <c r="J6" s="13">
        <f t="shared" si="5"/>
        <v>0.25</v>
      </c>
      <c r="K6" s="10" t="s">
        <v>30</v>
      </c>
      <c r="L6" s="11">
        <v>6.0</v>
      </c>
      <c r="M6" s="11">
        <v>4.0</v>
      </c>
      <c r="N6" s="13">
        <f t="shared" si="2"/>
        <v>0.2</v>
      </c>
      <c r="O6" s="10" t="s">
        <v>31</v>
      </c>
      <c r="P6" s="11">
        <v>7.0</v>
      </c>
      <c r="Q6" s="11">
        <v>5.0</v>
      </c>
      <c r="R6" s="13">
        <f t="shared" si="3"/>
        <v>0.1666666667</v>
      </c>
      <c r="S6" s="10" t="s">
        <v>32</v>
      </c>
      <c r="T6" s="11">
        <v>8.0</v>
      </c>
      <c r="U6" s="11">
        <v>3.0</v>
      </c>
      <c r="V6" s="13">
        <f t="shared" si="4"/>
        <v>0.4545454545</v>
      </c>
    </row>
    <row r="7">
      <c r="C7" s="15" t="s">
        <v>33</v>
      </c>
      <c r="F7" s="16">
        <f>AVERAGE(F3:F6)</f>
        <v>0.2983585859</v>
      </c>
      <c r="G7" s="15" t="s">
        <v>33</v>
      </c>
      <c r="J7" s="16">
        <f>AVERAGE(J3:J6)</f>
        <v>0.2338286713</v>
      </c>
      <c r="K7" s="15" t="s">
        <v>33</v>
      </c>
      <c r="N7" s="16">
        <f>AVERAGE(N3:N6)</f>
        <v>0.2070512821</v>
      </c>
      <c r="O7" s="15" t="s">
        <v>33</v>
      </c>
      <c r="R7" s="16">
        <f>AVERAGE(R3:R6)</f>
        <v>0.166025641</v>
      </c>
      <c r="S7" s="15" t="s">
        <v>33</v>
      </c>
      <c r="V7" s="16">
        <f>AVERAGE(V3:V6)</f>
        <v>0.2772110243</v>
      </c>
    </row>
    <row r="8">
      <c r="A8" s="5" t="s">
        <v>34</v>
      </c>
      <c r="B8" s="8" t="s">
        <v>12</v>
      </c>
      <c r="C8" s="5" t="s">
        <v>13</v>
      </c>
      <c r="D8" s="9">
        <v>6.0</v>
      </c>
      <c r="E8" s="9">
        <v>7.0</v>
      </c>
      <c r="F8" s="9">
        <f t="shared" ref="F8:F11" si="6">DIVIDE(MINUS(D8,E8),SUM(D8:E8))</f>
        <v>-0.07692307692</v>
      </c>
      <c r="G8" s="10" t="s">
        <v>14</v>
      </c>
      <c r="H8" s="11">
        <v>8.0</v>
      </c>
      <c r="I8" s="11">
        <v>5.0</v>
      </c>
      <c r="J8" s="13">
        <f t="shared" ref="J8:J11" si="7">DIVIDE(MINUS(H8,I8),SUM(H8:I8))</f>
        <v>0.2307692308</v>
      </c>
      <c r="K8" s="10" t="s">
        <v>15</v>
      </c>
      <c r="L8" s="11">
        <v>6.0</v>
      </c>
      <c r="M8" s="11">
        <v>5.0</v>
      </c>
      <c r="N8" s="13">
        <f t="shared" ref="N8:N11" si="8">DIVIDE(MINUS(L8,M8),SUM(L8:M8))</f>
        <v>0.09090909091</v>
      </c>
      <c r="O8" s="10" t="s">
        <v>16</v>
      </c>
      <c r="P8" s="11">
        <v>6.0</v>
      </c>
      <c r="Q8" s="11">
        <v>6.0</v>
      </c>
      <c r="R8" s="13">
        <f t="shared" ref="R8:R11" si="9">DIVIDE(MINUS(P8,Q8),SUM(P8:Q8))</f>
        <v>0</v>
      </c>
      <c r="S8" s="10" t="s">
        <v>17</v>
      </c>
      <c r="T8" s="11">
        <v>6.0</v>
      </c>
      <c r="U8" s="11">
        <v>10.0</v>
      </c>
      <c r="V8" s="13">
        <f t="shared" ref="V8:V11" si="10">DIVIDE(MINUS(T8,U8),SUM(T8:U8))</f>
        <v>-0.25</v>
      </c>
      <c r="X8" s="14">
        <f>AVERAGE(N8:N9)</f>
        <v>0.5454545455</v>
      </c>
      <c r="AB8" s="14">
        <f>AVERAGE(R8:R9)</f>
        <v>0.04545454545</v>
      </c>
    </row>
    <row r="9">
      <c r="C9" s="5" t="s">
        <v>18</v>
      </c>
      <c r="D9" s="9">
        <v>8.0</v>
      </c>
      <c r="E9" s="9">
        <v>7.0</v>
      </c>
      <c r="F9" s="9">
        <f t="shared" si="6"/>
        <v>0.06666666667</v>
      </c>
      <c r="G9" s="10" t="s">
        <v>19</v>
      </c>
      <c r="H9" s="11">
        <v>8.0</v>
      </c>
      <c r="I9" s="11">
        <v>8.0</v>
      </c>
      <c r="J9" s="13">
        <f t="shared" si="7"/>
        <v>0</v>
      </c>
      <c r="K9" s="10" t="s">
        <v>20</v>
      </c>
      <c r="L9" s="11">
        <v>8.0</v>
      </c>
      <c r="M9" s="11">
        <v>0.0</v>
      </c>
      <c r="N9" s="13">
        <f t="shared" si="8"/>
        <v>1</v>
      </c>
      <c r="O9" s="10" t="s">
        <v>21</v>
      </c>
      <c r="P9" s="11">
        <v>6.0</v>
      </c>
      <c r="Q9" s="11">
        <v>5.0</v>
      </c>
      <c r="R9" s="13">
        <f t="shared" si="9"/>
        <v>0.09090909091</v>
      </c>
      <c r="S9" s="10" t="s">
        <v>22</v>
      </c>
      <c r="T9" s="11">
        <v>6.0</v>
      </c>
      <c r="U9" s="11">
        <v>12.0</v>
      </c>
      <c r="V9" s="13">
        <f t="shared" si="10"/>
        <v>-0.3333333333</v>
      </c>
    </row>
    <row r="10">
      <c r="C10" s="5" t="s">
        <v>23</v>
      </c>
      <c r="D10" s="9">
        <v>6.0</v>
      </c>
      <c r="E10" s="9">
        <v>12.0</v>
      </c>
      <c r="F10" s="9">
        <f t="shared" si="6"/>
        <v>-0.3333333333</v>
      </c>
      <c r="G10" s="10" t="s">
        <v>24</v>
      </c>
      <c r="H10" s="11">
        <v>5.0</v>
      </c>
      <c r="I10" s="11">
        <v>5.0</v>
      </c>
      <c r="J10" s="13">
        <f t="shared" si="7"/>
        <v>0</v>
      </c>
      <c r="K10" s="10" t="s">
        <v>25</v>
      </c>
      <c r="L10" s="11">
        <v>7.0</v>
      </c>
      <c r="M10" s="11">
        <v>1.0</v>
      </c>
      <c r="N10" s="13">
        <f t="shared" si="8"/>
        <v>0.75</v>
      </c>
      <c r="O10" s="10" t="s">
        <v>26</v>
      </c>
      <c r="P10" s="11">
        <v>8.0</v>
      </c>
      <c r="Q10" s="11">
        <v>1.0</v>
      </c>
      <c r="R10" s="13">
        <f t="shared" si="9"/>
        <v>0.7777777778</v>
      </c>
      <c r="S10" s="10" t="s">
        <v>27</v>
      </c>
      <c r="T10" s="11">
        <v>8.0</v>
      </c>
      <c r="U10" s="11">
        <v>8.0</v>
      </c>
      <c r="V10" s="13">
        <f t="shared" si="10"/>
        <v>0</v>
      </c>
      <c r="X10" s="14">
        <f>AVERAGE(N10:N11)</f>
        <v>0.3125</v>
      </c>
      <c r="AB10" s="14">
        <f>AVERAGE(R10:R11)</f>
        <v>0.2418300654</v>
      </c>
    </row>
    <row r="11">
      <c r="C11" s="5" t="s">
        <v>28</v>
      </c>
      <c r="D11" s="9">
        <v>8.0</v>
      </c>
      <c r="E11" s="9">
        <v>9.0</v>
      </c>
      <c r="F11" s="9">
        <f t="shared" si="6"/>
        <v>-0.05882352941</v>
      </c>
      <c r="G11" s="10" t="s">
        <v>29</v>
      </c>
      <c r="H11" s="11">
        <v>1.0</v>
      </c>
      <c r="I11" s="11">
        <v>0.0</v>
      </c>
      <c r="J11" s="13">
        <f t="shared" si="7"/>
        <v>1</v>
      </c>
      <c r="K11" s="10" t="s">
        <v>30</v>
      </c>
      <c r="L11" s="11">
        <v>7.0</v>
      </c>
      <c r="M11" s="11">
        <v>9.0</v>
      </c>
      <c r="N11" s="13">
        <f t="shared" si="8"/>
        <v>-0.125</v>
      </c>
      <c r="O11" s="10" t="s">
        <v>31</v>
      </c>
      <c r="P11" s="11">
        <v>6.0</v>
      </c>
      <c r="Q11" s="11">
        <v>11.0</v>
      </c>
      <c r="R11" s="13">
        <f t="shared" si="9"/>
        <v>-0.2941176471</v>
      </c>
      <c r="S11" s="10" t="s">
        <v>32</v>
      </c>
      <c r="T11" s="11">
        <v>7.0</v>
      </c>
      <c r="U11" s="11">
        <v>5.0</v>
      </c>
      <c r="V11" s="13">
        <f t="shared" si="10"/>
        <v>0.1666666667</v>
      </c>
    </row>
    <row r="12">
      <c r="C12" s="15" t="s">
        <v>33</v>
      </c>
      <c r="F12" s="16">
        <f>AVERAGE(F8:F11)</f>
        <v>-0.1006033183</v>
      </c>
      <c r="G12" s="15" t="s">
        <v>33</v>
      </c>
      <c r="J12" s="16">
        <f>AVERAGE(J8:J11)</f>
        <v>0.3076923077</v>
      </c>
      <c r="K12" s="15" t="s">
        <v>33</v>
      </c>
      <c r="N12" s="16">
        <f>AVERAGE(N8:N11)</f>
        <v>0.4289772727</v>
      </c>
      <c r="O12" s="15" t="s">
        <v>33</v>
      </c>
      <c r="R12" s="16">
        <f>AVERAGE(R8:R11)</f>
        <v>0.1436423054</v>
      </c>
      <c r="S12" s="15" t="s">
        <v>33</v>
      </c>
      <c r="V12" s="16">
        <f>AVERAGE(V8:V11)</f>
        <v>-0.1041666667</v>
      </c>
    </row>
    <row r="13">
      <c r="A13" s="5" t="s">
        <v>35</v>
      </c>
      <c r="B13" s="8" t="s">
        <v>12</v>
      </c>
      <c r="C13" s="5" t="s">
        <v>13</v>
      </c>
      <c r="D13" s="9">
        <v>7.0</v>
      </c>
      <c r="E13" s="9">
        <v>11.0</v>
      </c>
      <c r="F13" s="9">
        <f t="shared" ref="F13:F16" si="11">DIVIDE(MINUS(D13,E13),SUM(D13:E13))</f>
        <v>-0.2222222222</v>
      </c>
      <c r="G13" s="10" t="s">
        <v>14</v>
      </c>
      <c r="H13" s="11">
        <v>8.0</v>
      </c>
      <c r="I13" s="11">
        <v>3.0</v>
      </c>
      <c r="J13" s="13">
        <f t="shared" ref="J13:J16" si="12">DIVIDE(MINUS(H13,I13),SUM(H13:I13))</f>
        <v>0.4545454545</v>
      </c>
      <c r="K13" s="10" t="s">
        <v>15</v>
      </c>
      <c r="L13" s="11">
        <v>7.0</v>
      </c>
      <c r="M13" s="11">
        <v>8.0</v>
      </c>
      <c r="N13" s="13">
        <f t="shared" ref="N13:N16" si="13">DIVIDE(MINUS(L13,M13),SUM(L13:M13))</f>
        <v>-0.06666666667</v>
      </c>
      <c r="O13" s="10" t="s">
        <v>16</v>
      </c>
      <c r="P13" s="11">
        <v>8.0</v>
      </c>
      <c r="Q13" s="11">
        <v>7.0</v>
      </c>
      <c r="R13" s="13">
        <f t="shared" ref="R13:R16" si="14">DIVIDE(MINUS(P13,Q13),SUM(P13:Q13))</f>
        <v>0.06666666667</v>
      </c>
      <c r="S13" s="10" t="s">
        <v>17</v>
      </c>
      <c r="T13" s="11">
        <v>7.0</v>
      </c>
      <c r="U13" s="11">
        <v>11.0</v>
      </c>
      <c r="V13" s="13">
        <f t="shared" ref="V13:V16" si="15">DIVIDE(MINUS(T13,U13),SUM(T13:U13))</f>
        <v>-0.2222222222</v>
      </c>
      <c r="X13" s="14">
        <f>AVERAGE(N13:N14)</f>
        <v>0.05</v>
      </c>
      <c r="AB13" s="14">
        <f>AVERAGE(R13:R14)</f>
        <v>0.5333333333</v>
      </c>
    </row>
    <row r="14">
      <c r="C14" s="5" t="s">
        <v>18</v>
      </c>
      <c r="D14" s="9">
        <v>8.0</v>
      </c>
      <c r="E14" s="9">
        <v>6.0</v>
      </c>
      <c r="F14" s="9">
        <f t="shared" si="11"/>
        <v>0.1428571429</v>
      </c>
      <c r="G14" s="10" t="s">
        <v>19</v>
      </c>
      <c r="H14" s="11">
        <v>8.0</v>
      </c>
      <c r="I14" s="11">
        <v>2.0</v>
      </c>
      <c r="J14" s="13">
        <f t="shared" si="12"/>
        <v>0.6</v>
      </c>
      <c r="K14" s="10" t="s">
        <v>20</v>
      </c>
      <c r="L14" s="11">
        <v>7.0</v>
      </c>
      <c r="M14" s="11">
        <v>5.0</v>
      </c>
      <c r="N14" s="13">
        <f t="shared" si="13"/>
        <v>0.1666666667</v>
      </c>
      <c r="O14" s="10" t="s">
        <v>21</v>
      </c>
      <c r="P14" s="11">
        <v>6.0</v>
      </c>
      <c r="Q14" s="17"/>
      <c r="R14" s="13">
        <f t="shared" si="14"/>
        <v>1</v>
      </c>
      <c r="S14" s="10" t="s">
        <v>22</v>
      </c>
      <c r="T14" s="11">
        <v>8.0</v>
      </c>
      <c r="U14" s="11">
        <v>9.0</v>
      </c>
      <c r="V14" s="13">
        <f t="shared" si="15"/>
        <v>-0.05882352941</v>
      </c>
    </row>
    <row r="15">
      <c r="C15" s="5" t="s">
        <v>23</v>
      </c>
      <c r="D15" s="9">
        <v>8.0</v>
      </c>
      <c r="E15" s="9">
        <v>5.0</v>
      </c>
      <c r="F15" s="9">
        <f t="shared" si="11"/>
        <v>0.2307692308</v>
      </c>
      <c r="G15" s="10" t="s">
        <v>24</v>
      </c>
      <c r="H15" s="11">
        <v>6.0</v>
      </c>
      <c r="I15" s="11">
        <v>3.0</v>
      </c>
      <c r="J15" s="13">
        <f t="shared" si="12"/>
        <v>0.3333333333</v>
      </c>
      <c r="K15" s="10" t="s">
        <v>25</v>
      </c>
      <c r="L15" s="11">
        <v>8.0</v>
      </c>
      <c r="M15" s="11">
        <v>3.0</v>
      </c>
      <c r="N15" s="13">
        <f t="shared" si="13"/>
        <v>0.4545454545</v>
      </c>
      <c r="O15" s="10" t="s">
        <v>26</v>
      </c>
      <c r="P15" s="11">
        <v>8.0</v>
      </c>
      <c r="Q15" s="17"/>
      <c r="R15" s="13">
        <f t="shared" si="14"/>
        <v>1</v>
      </c>
      <c r="S15" s="10" t="s">
        <v>27</v>
      </c>
      <c r="T15" s="11">
        <v>8.0</v>
      </c>
      <c r="U15" s="11">
        <v>8.0</v>
      </c>
      <c r="V15" s="13">
        <f t="shared" si="15"/>
        <v>0</v>
      </c>
      <c r="X15" s="14">
        <f>AVERAGE(N15:N16)</f>
        <v>0.5050505051</v>
      </c>
      <c r="AB15" s="14">
        <f>AVERAGE(R15:R16)</f>
        <v>0.3684210526</v>
      </c>
    </row>
    <row r="16">
      <c r="C16" s="5" t="s">
        <v>28</v>
      </c>
      <c r="D16" s="9">
        <v>8.0</v>
      </c>
      <c r="E16" s="9">
        <v>1.0</v>
      </c>
      <c r="F16" s="9">
        <f t="shared" si="11"/>
        <v>0.7777777778</v>
      </c>
      <c r="G16" s="10" t="s">
        <v>29</v>
      </c>
      <c r="H16" s="11">
        <v>1.0</v>
      </c>
      <c r="I16" s="11">
        <v>0.0</v>
      </c>
      <c r="J16" s="13">
        <f t="shared" si="12"/>
        <v>1</v>
      </c>
      <c r="K16" s="10" t="s">
        <v>30</v>
      </c>
      <c r="L16" s="11">
        <v>7.0</v>
      </c>
      <c r="M16" s="11">
        <v>2.0</v>
      </c>
      <c r="N16" s="13">
        <f t="shared" si="13"/>
        <v>0.5555555556</v>
      </c>
      <c r="O16" s="10" t="s">
        <v>31</v>
      </c>
      <c r="P16" s="11">
        <v>7.0</v>
      </c>
      <c r="Q16" s="11">
        <v>12.0</v>
      </c>
      <c r="R16" s="13">
        <f t="shared" si="14"/>
        <v>-0.2631578947</v>
      </c>
      <c r="S16" s="10" t="s">
        <v>32</v>
      </c>
      <c r="T16" s="11">
        <v>7.0</v>
      </c>
      <c r="U16" s="11">
        <v>4.0</v>
      </c>
      <c r="V16" s="13">
        <f t="shared" si="15"/>
        <v>0.2727272727</v>
      </c>
    </row>
    <row r="17">
      <c r="C17" s="15" t="s">
        <v>33</v>
      </c>
      <c r="F17" s="16">
        <f>AVERAGE(F13:F16)</f>
        <v>0.2322954823</v>
      </c>
      <c r="G17" s="15" t="s">
        <v>33</v>
      </c>
      <c r="J17" s="16">
        <f>AVERAGE(J13:J16)</f>
        <v>0.596969697</v>
      </c>
      <c r="K17" s="15" t="s">
        <v>33</v>
      </c>
      <c r="N17" s="16">
        <f>AVERAGE(N13:N16)</f>
        <v>0.2775252525</v>
      </c>
      <c r="O17" s="15" t="s">
        <v>33</v>
      </c>
      <c r="R17" s="16">
        <f>AVERAGE(R13:R16)</f>
        <v>0.450877193</v>
      </c>
      <c r="S17" s="15" t="s">
        <v>33</v>
      </c>
      <c r="V17" s="16">
        <f>AVERAGE(V13:V16)</f>
        <v>-0.002079619727</v>
      </c>
    </row>
    <row r="18">
      <c r="A18" s="5" t="s">
        <v>36</v>
      </c>
      <c r="B18" s="8" t="s">
        <v>12</v>
      </c>
      <c r="C18" s="5" t="s">
        <v>13</v>
      </c>
      <c r="D18" s="9">
        <v>6.0</v>
      </c>
      <c r="E18" s="9">
        <v>2.0</v>
      </c>
      <c r="F18" s="9">
        <f t="shared" ref="F18:F21" si="16">DIVIDE(MINUS(D18,E18),SUM(D18:E18))</f>
        <v>0.5</v>
      </c>
      <c r="G18" s="10" t="s">
        <v>14</v>
      </c>
      <c r="H18" s="11">
        <v>7.0</v>
      </c>
      <c r="I18" s="11">
        <v>6.0</v>
      </c>
      <c r="J18" s="13">
        <f t="shared" ref="J18:J20" si="17">DIVIDE(MINUS(H18,I18),SUM(H18:I18))</f>
        <v>0.07692307692</v>
      </c>
      <c r="K18" s="10" t="s">
        <v>15</v>
      </c>
      <c r="L18" s="11">
        <v>7.0</v>
      </c>
      <c r="M18" s="11">
        <v>3.0</v>
      </c>
      <c r="N18" s="13">
        <f t="shared" ref="N18:N21" si="18">DIVIDE(MINUS(L18,M18),SUM(L18:M18))</f>
        <v>0.4</v>
      </c>
      <c r="O18" s="10" t="s">
        <v>16</v>
      </c>
      <c r="P18" s="11">
        <v>3.0</v>
      </c>
      <c r="Q18" s="11">
        <v>0.0</v>
      </c>
      <c r="R18" s="13">
        <f t="shared" ref="R18:R21" si="19">DIVIDE(MINUS(P18,Q18),SUM(P18:Q18))</f>
        <v>1</v>
      </c>
      <c r="S18" s="10" t="s">
        <v>17</v>
      </c>
      <c r="T18" s="11">
        <v>5.0</v>
      </c>
      <c r="U18" s="11">
        <v>0.0</v>
      </c>
      <c r="V18" s="13">
        <f t="shared" ref="V18:V21" si="20">DIVIDE(MINUS(T18,U18),SUM(T18:U18))</f>
        <v>1</v>
      </c>
      <c r="X18" s="14">
        <f>AVERAGE(N18:N19)</f>
        <v>0.1375</v>
      </c>
      <c r="AB18" s="14">
        <f>AVERAGE(R18:R19)</f>
        <v>0.5</v>
      </c>
    </row>
    <row r="19">
      <c r="C19" s="5" t="s">
        <v>18</v>
      </c>
      <c r="D19" s="9">
        <v>8.0</v>
      </c>
      <c r="E19" s="9">
        <v>12.0</v>
      </c>
      <c r="F19" s="9">
        <f t="shared" si="16"/>
        <v>-0.2</v>
      </c>
      <c r="G19" s="10" t="s">
        <v>19</v>
      </c>
      <c r="H19" s="11">
        <v>7.0</v>
      </c>
      <c r="I19" s="11">
        <v>7.0</v>
      </c>
      <c r="J19" s="13">
        <f t="shared" si="17"/>
        <v>0</v>
      </c>
      <c r="K19" s="10" t="s">
        <v>20</v>
      </c>
      <c r="L19" s="11">
        <v>7.0</v>
      </c>
      <c r="M19" s="11">
        <v>9.0</v>
      </c>
      <c r="N19" s="13">
        <f t="shared" si="18"/>
        <v>-0.125</v>
      </c>
      <c r="O19" s="10" t="s">
        <v>21</v>
      </c>
      <c r="P19" s="11">
        <v>1.0</v>
      </c>
      <c r="Q19" s="11">
        <v>1.0</v>
      </c>
      <c r="R19" s="13">
        <f t="shared" si="19"/>
        <v>0</v>
      </c>
      <c r="S19" s="10" t="s">
        <v>22</v>
      </c>
      <c r="T19" s="11">
        <v>6.0</v>
      </c>
      <c r="U19" s="11">
        <v>2.0</v>
      </c>
      <c r="V19" s="13">
        <f t="shared" si="20"/>
        <v>0.5</v>
      </c>
    </row>
    <row r="20">
      <c r="C20" s="5" t="s">
        <v>23</v>
      </c>
      <c r="D20" s="9">
        <v>6.0</v>
      </c>
      <c r="E20" s="9">
        <v>6.0</v>
      </c>
      <c r="F20" s="9">
        <f t="shared" si="16"/>
        <v>0</v>
      </c>
      <c r="G20" s="10" t="s">
        <v>24</v>
      </c>
      <c r="H20" s="11">
        <v>6.0</v>
      </c>
      <c r="I20" s="11">
        <v>0.0</v>
      </c>
      <c r="J20" s="13">
        <f t="shared" si="17"/>
        <v>1</v>
      </c>
      <c r="K20" s="10" t="s">
        <v>25</v>
      </c>
      <c r="L20" s="11">
        <v>4.0</v>
      </c>
      <c r="M20" s="11">
        <v>0.0</v>
      </c>
      <c r="N20" s="13">
        <f t="shared" si="18"/>
        <v>1</v>
      </c>
      <c r="O20" s="10" t="s">
        <v>26</v>
      </c>
      <c r="P20" s="11">
        <v>8.0</v>
      </c>
      <c r="Q20" s="11">
        <v>1.0</v>
      </c>
      <c r="R20" s="13">
        <f t="shared" si="19"/>
        <v>0.7777777778</v>
      </c>
      <c r="S20" s="10" t="s">
        <v>27</v>
      </c>
      <c r="T20" s="11">
        <v>7.0</v>
      </c>
      <c r="U20" s="11">
        <v>3.0</v>
      </c>
      <c r="V20" s="13">
        <f t="shared" si="20"/>
        <v>0.4</v>
      </c>
      <c r="X20" s="14">
        <f>AVERAGE(N20:N21)</f>
        <v>0.5</v>
      </c>
      <c r="AB20" s="14">
        <f>AVERAGE(R20:R21)</f>
        <v>0.4273504274</v>
      </c>
    </row>
    <row r="21">
      <c r="C21" s="5" t="s">
        <v>28</v>
      </c>
      <c r="D21" s="9">
        <v>8.0</v>
      </c>
      <c r="E21" s="9">
        <v>2.0</v>
      </c>
      <c r="F21" s="9">
        <f t="shared" si="16"/>
        <v>0.6</v>
      </c>
      <c r="G21" s="10" t="s">
        <v>29</v>
      </c>
      <c r="H21" s="11">
        <v>0.0</v>
      </c>
      <c r="I21" s="11">
        <v>0.0</v>
      </c>
      <c r="J21" s="12">
        <v>0.0</v>
      </c>
      <c r="K21" s="10" t="s">
        <v>30</v>
      </c>
      <c r="L21" s="11">
        <v>6.0</v>
      </c>
      <c r="M21" s="11">
        <v>6.0</v>
      </c>
      <c r="N21" s="13">
        <f t="shared" si="18"/>
        <v>0</v>
      </c>
      <c r="O21" s="10" t="s">
        <v>31</v>
      </c>
      <c r="P21" s="11">
        <v>7.0</v>
      </c>
      <c r="Q21" s="11">
        <v>6.0</v>
      </c>
      <c r="R21" s="13">
        <f t="shared" si="19"/>
        <v>0.07692307692</v>
      </c>
      <c r="S21" s="10" t="s">
        <v>32</v>
      </c>
      <c r="T21" s="11">
        <v>7.0</v>
      </c>
      <c r="U21" s="11">
        <v>10.0</v>
      </c>
      <c r="V21" s="13">
        <f t="shared" si="20"/>
        <v>-0.1764705882</v>
      </c>
    </row>
    <row r="22">
      <c r="C22" s="15" t="s">
        <v>33</v>
      </c>
      <c r="F22" s="16">
        <f>AVERAGE(F18:F21)</f>
        <v>0.225</v>
      </c>
      <c r="G22" s="15" t="s">
        <v>33</v>
      </c>
      <c r="J22" s="16">
        <f>AVERAGE(J18:J21)</f>
        <v>0.2692307692</v>
      </c>
      <c r="K22" s="15" t="s">
        <v>33</v>
      </c>
      <c r="N22" s="16">
        <f>AVERAGE(N18:N21)</f>
        <v>0.31875</v>
      </c>
      <c r="O22" s="15" t="s">
        <v>33</v>
      </c>
      <c r="R22" s="16">
        <f>AVERAGE(R18:R21)</f>
        <v>0.4636752137</v>
      </c>
      <c r="S22" s="15" t="s">
        <v>33</v>
      </c>
      <c r="V22" s="16">
        <f>AVERAGE(V18:V21)</f>
        <v>0.4308823529</v>
      </c>
    </row>
    <row r="23">
      <c r="A23" s="5" t="s">
        <v>37</v>
      </c>
      <c r="B23" s="8" t="s">
        <v>12</v>
      </c>
      <c r="C23" s="5" t="s">
        <v>13</v>
      </c>
      <c r="D23" s="9">
        <v>8.0</v>
      </c>
      <c r="E23" s="9">
        <v>2.0</v>
      </c>
      <c r="F23" s="9">
        <f t="shared" ref="F23:F26" si="21">DIVIDE(MINUS(D23,E23),SUM(D23:E23))</f>
        <v>0.6</v>
      </c>
      <c r="G23" s="10" t="s">
        <v>14</v>
      </c>
      <c r="H23" s="11">
        <v>6.0</v>
      </c>
      <c r="I23" s="11">
        <v>3.0</v>
      </c>
      <c r="J23" s="13">
        <f t="shared" ref="J23:J26" si="22">DIVIDE(MINUS(H23,I23),SUM(H23:I23))</f>
        <v>0.3333333333</v>
      </c>
      <c r="K23" s="10" t="s">
        <v>15</v>
      </c>
      <c r="L23" s="11">
        <v>6.0</v>
      </c>
      <c r="M23" s="11">
        <v>4.0</v>
      </c>
      <c r="N23" s="13">
        <f t="shared" ref="N23:N26" si="23">DIVIDE(MINUS(L23,M23),SUM(L23:M23))</f>
        <v>0.2</v>
      </c>
      <c r="O23" s="10" t="s">
        <v>16</v>
      </c>
      <c r="P23" s="11">
        <v>5.0</v>
      </c>
      <c r="Q23" s="11">
        <v>0.0</v>
      </c>
      <c r="R23" s="13">
        <f t="shared" ref="R23:R26" si="24">DIVIDE(MINUS(P23,Q23),SUM(P23:Q23))</f>
        <v>1</v>
      </c>
      <c r="S23" s="10" t="s">
        <v>17</v>
      </c>
      <c r="T23" s="11">
        <v>6.0</v>
      </c>
      <c r="U23" s="11">
        <v>5.0</v>
      </c>
      <c r="V23" s="13">
        <f t="shared" ref="V23:V26" si="25">DIVIDE(MINUS(T23,U23),SUM(T23:U23))</f>
        <v>0.09090909091</v>
      </c>
      <c r="X23" s="14">
        <f>AVERAGE(N23:N24)</f>
        <v>-0.01111111111</v>
      </c>
      <c r="AB23" s="14">
        <f>AVERAGE(R23:R24)</f>
        <v>0.875</v>
      </c>
    </row>
    <row r="24">
      <c r="C24" s="5" t="s">
        <v>18</v>
      </c>
      <c r="D24" s="9">
        <v>8.0</v>
      </c>
      <c r="E24" s="9">
        <v>5.0</v>
      </c>
      <c r="F24" s="9">
        <f t="shared" si="21"/>
        <v>0.2307692308</v>
      </c>
      <c r="G24" s="10" t="s">
        <v>19</v>
      </c>
      <c r="H24" s="11">
        <v>8.0</v>
      </c>
      <c r="I24" s="11">
        <v>2.0</v>
      </c>
      <c r="J24" s="13">
        <f t="shared" si="22"/>
        <v>0.6</v>
      </c>
      <c r="K24" s="10" t="s">
        <v>20</v>
      </c>
      <c r="L24" s="11">
        <v>7.0</v>
      </c>
      <c r="M24" s="11">
        <v>11.0</v>
      </c>
      <c r="N24" s="13">
        <f t="shared" si="23"/>
        <v>-0.2222222222</v>
      </c>
      <c r="O24" s="10" t="s">
        <v>21</v>
      </c>
      <c r="P24" s="11">
        <v>7.0</v>
      </c>
      <c r="Q24" s="11">
        <v>1.0</v>
      </c>
      <c r="R24" s="13">
        <f t="shared" si="24"/>
        <v>0.75</v>
      </c>
      <c r="S24" s="10" t="s">
        <v>22</v>
      </c>
      <c r="T24" s="11">
        <v>1.0</v>
      </c>
      <c r="U24" s="11">
        <v>0.0</v>
      </c>
      <c r="V24" s="13">
        <f t="shared" si="25"/>
        <v>1</v>
      </c>
    </row>
    <row r="25">
      <c r="C25" s="5" t="s">
        <v>23</v>
      </c>
      <c r="D25" s="9">
        <v>6.0</v>
      </c>
      <c r="E25" s="9">
        <v>6.0</v>
      </c>
      <c r="F25" s="9">
        <f t="shared" si="21"/>
        <v>0</v>
      </c>
      <c r="G25" s="10" t="s">
        <v>24</v>
      </c>
      <c r="H25" s="11">
        <v>4.0</v>
      </c>
      <c r="I25" s="11">
        <v>0.0</v>
      </c>
      <c r="J25" s="13">
        <f t="shared" si="22"/>
        <v>1</v>
      </c>
      <c r="K25" s="10" t="s">
        <v>25</v>
      </c>
      <c r="L25" s="11">
        <v>1.0</v>
      </c>
      <c r="M25" s="11">
        <v>0.0</v>
      </c>
      <c r="N25" s="13">
        <f t="shared" si="23"/>
        <v>1</v>
      </c>
      <c r="O25" s="10" t="s">
        <v>26</v>
      </c>
      <c r="P25" s="11">
        <v>7.0</v>
      </c>
      <c r="Q25" s="11">
        <v>8.0</v>
      </c>
      <c r="R25" s="13">
        <f t="shared" si="24"/>
        <v>-0.06666666667</v>
      </c>
      <c r="S25" s="10" t="s">
        <v>27</v>
      </c>
      <c r="T25" s="11">
        <v>5.0</v>
      </c>
      <c r="U25" s="11">
        <v>1.0</v>
      </c>
      <c r="V25" s="13">
        <f t="shared" si="25"/>
        <v>0.6666666667</v>
      </c>
      <c r="X25" s="14">
        <f>AVERAGE(N25:N26)</f>
        <v>0.4</v>
      </c>
      <c r="AB25" s="14">
        <f>AVERAGE(R25:R26)</f>
        <v>-0.1122807018</v>
      </c>
    </row>
    <row r="26">
      <c r="C26" s="5" t="s">
        <v>28</v>
      </c>
      <c r="D26" s="9">
        <v>7.0</v>
      </c>
      <c r="E26" s="9">
        <v>4.0</v>
      </c>
      <c r="F26" s="9">
        <f t="shared" si="21"/>
        <v>0.2727272727</v>
      </c>
      <c r="G26" s="10" t="s">
        <v>29</v>
      </c>
      <c r="H26" s="11">
        <v>2.0</v>
      </c>
      <c r="I26" s="11">
        <v>0.0</v>
      </c>
      <c r="J26" s="13">
        <f t="shared" si="22"/>
        <v>1</v>
      </c>
      <c r="K26" s="10" t="s">
        <v>30</v>
      </c>
      <c r="L26" s="11">
        <v>8.0</v>
      </c>
      <c r="M26" s="11">
        <v>12.0</v>
      </c>
      <c r="N26" s="13">
        <f t="shared" si="23"/>
        <v>-0.2</v>
      </c>
      <c r="O26" s="10" t="s">
        <v>31</v>
      </c>
      <c r="P26" s="11">
        <v>8.0</v>
      </c>
      <c r="Q26" s="11">
        <v>11.0</v>
      </c>
      <c r="R26" s="13">
        <f t="shared" si="24"/>
        <v>-0.1578947368</v>
      </c>
      <c r="S26" s="10" t="s">
        <v>32</v>
      </c>
      <c r="T26" s="11">
        <v>8.0</v>
      </c>
      <c r="U26" s="11">
        <v>5.0</v>
      </c>
      <c r="V26" s="13">
        <f t="shared" si="25"/>
        <v>0.2307692308</v>
      </c>
    </row>
    <row r="27">
      <c r="C27" s="15" t="s">
        <v>33</v>
      </c>
      <c r="F27" s="16">
        <f>AVERAGE(F23:F26)</f>
        <v>0.2758741259</v>
      </c>
      <c r="G27" s="15" t="s">
        <v>33</v>
      </c>
      <c r="J27" s="16">
        <f>AVERAGE(J23:J26)</f>
        <v>0.7333333333</v>
      </c>
      <c r="K27" s="15" t="s">
        <v>33</v>
      </c>
      <c r="N27" s="16">
        <f>AVERAGE(N23:N26)</f>
        <v>0.1944444444</v>
      </c>
      <c r="O27" s="15" t="s">
        <v>33</v>
      </c>
      <c r="R27" s="16">
        <f>AVERAGE(R23:R26)</f>
        <v>0.3813596491</v>
      </c>
      <c r="S27" s="15" t="s">
        <v>33</v>
      </c>
      <c r="V27" s="16">
        <f>AVERAGE(V23:V26)</f>
        <v>0.4970862471</v>
      </c>
    </row>
    <row r="28">
      <c r="A28" s="5" t="s">
        <v>38</v>
      </c>
      <c r="B28" s="8" t="s">
        <v>12</v>
      </c>
      <c r="C28" s="5" t="s">
        <v>13</v>
      </c>
      <c r="D28" s="9">
        <v>6.0</v>
      </c>
      <c r="E28" s="9">
        <v>3.0</v>
      </c>
      <c r="F28" s="9">
        <f t="shared" ref="F28:F31" si="26">DIVIDE(MINUS(D28,E28),SUM(D28:E28))</f>
        <v>0.3333333333</v>
      </c>
      <c r="G28" s="10" t="s">
        <v>14</v>
      </c>
      <c r="H28" s="11">
        <v>3.0</v>
      </c>
      <c r="I28" s="11">
        <v>1.0</v>
      </c>
      <c r="J28" s="13">
        <f t="shared" ref="J28:J30" si="27">DIVIDE(MINUS(H28,I28),SUM(H28:I28))</f>
        <v>0.5</v>
      </c>
      <c r="K28" s="10" t="s">
        <v>15</v>
      </c>
      <c r="L28" s="11">
        <v>3.0</v>
      </c>
      <c r="M28" s="11">
        <v>1.0</v>
      </c>
      <c r="N28" s="13">
        <f t="shared" ref="N28:N31" si="28">DIVIDE(MINUS(L28,M28),SUM(L28:M28))</f>
        <v>0.5</v>
      </c>
      <c r="O28" s="10" t="s">
        <v>16</v>
      </c>
      <c r="P28" s="11">
        <v>5.0</v>
      </c>
      <c r="Q28" s="11">
        <v>0.0</v>
      </c>
      <c r="R28" s="13">
        <f t="shared" ref="R28:R31" si="29">DIVIDE(MINUS(P28,Q28),SUM(P28:Q28))</f>
        <v>1</v>
      </c>
      <c r="S28" s="10" t="s">
        <v>17</v>
      </c>
      <c r="T28" s="11">
        <v>7.0</v>
      </c>
      <c r="U28" s="11">
        <v>2.0</v>
      </c>
      <c r="V28" s="13">
        <f t="shared" ref="V28:V29" si="30">DIVIDE(MINUS(T28,U28),SUM(T28:U28))</f>
        <v>0.5555555556</v>
      </c>
      <c r="X28" s="14">
        <f>AVERAGE(N28:N29)</f>
        <v>0.1875</v>
      </c>
      <c r="AB28" s="14">
        <f>AVERAGE(R28:R29)</f>
        <v>0.6</v>
      </c>
    </row>
    <row r="29">
      <c r="C29" s="5" t="s">
        <v>18</v>
      </c>
      <c r="D29" s="9">
        <v>8.0</v>
      </c>
      <c r="E29" s="9">
        <v>7.0</v>
      </c>
      <c r="F29" s="9">
        <f t="shared" si="26"/>
        <v>0.06666666667</v>
      </c>
      <c r="G29" s="10" t="s">
        <v>19</v>
      </c>
      <c r="H29" s="11">
        <v>6.0</v>
      </c>
      <c r="I29" s="11">
        <v>11.0</v>
      </c>
      <c r="J29" s="13">
        <f t="shared" si="27"/>
        <v>-0.2941176471</v>
      </c>
      <c r="K29" s="10" t="s">
        <v>20</v>
      </c>
      <c r="L29" s="11">
        <v>7.0</v>
      </c>
      <c r="M29" s="11">
        <v>9.0</v>
      </c>
      <c r="N29" s="13">
        <f t="shared" si="28"/>
        <v>-0.125</v>
      </c>
      <c r="O29" s="10" t="s">
        <v>21</v>
      </c>
      <c r="P29" s="11">
        <v>6.0</v>
      </c>
      <c r="Q29" s="11">
        <v>4.0</v>
      </c>
      <c r="R29" s="13">
        <f t="shared" si="29"/>
        <v>0.2</v>
      </c>
      <c r="S29" s="10" t="s">
        <v>22</v>
      </c>
      <c r="T29" s="11">
        <v>5.0</v>
      </c>
      <c r="U29" s="11">
        <v>4.0</v>
      </c>
      <c r="V29" s="13">
        <f t="shared" si="30"/>
        <v>0.1111111111</v>
      </c>
    </row>
    <row r="30">
      <c r="C30" s="5" t="s">
        <v>23</v>
      </c>
      <c r="D30" s="9">
        <v>8.0</v>
      </c>
      <c r="E30" s="9">
        <v>11.0</v>
      </c>
      <c r="F30" s="9">
        <f t="shared" si="26"/>
        <v>-0.1578947368</v>
      </c>
      <c r="G30" s="10" t="s">
        <v>24</v>
      </c>
      <c r="H30" s="11">
        <v>5.0</v>
      </c>
      <c r="I30" s="11">
        <v>2.0</v>
      </c>
      <c r="J30" s="13">
        <f t="shared" si="27"/>
        <v>0.4285714286</v>
      </c>
      <c r="K30" s="10" t="s">
        <v>25</v>
      </c>
      <c r="L30" s="11">
        <v>8.0</v>
      </c>
      <c r="M30" s="11">
        <v>3.0</v>
      </c>
      <c r="N30" s="13">
        <f t="shared" si="28"/>
        <v>0.4545454545</v>
      </c>
      <c r="O30" s="10" t="s">
        <v>26</v>
      </c>
      <c r="P30" s="11">
        <v>8.0</v>
      </c>
      <c r="Q30" s="11">
        <v>2.0</v>
      </c>
      <c r="R30" s="13">
        <f t="shared" si="29"/>
        <v>0.6</v>
      </c>
      <c r="S30" s="10" t="s">
        <v>27</v>
      </c>
      <c r="T30" s="11">
        <v>0.0</v>
      </c>
      <c r="U30" s="11">
        <v>0.0</v>
      </c>
      <c r="V30" s="12">
        <v>0.0</v>
      </c>
      <c r="X30" s="14">
        <f>AVERAGE(N30:N31)</f>
        <v>0.07727272727</v>
      </c>
      <c r="AB30" s="14">
        <f>AVERAGE(R30:R31)</f>
        <v>0.6</v>
      </c>
    </row>
    <row r="31">
      <c r="C31" s="5" t="s">
        <v>28</v>
      </c>
      <c r="D31" s="9">
        <v>6.0</v>
      </c>
      <c r="E31" s="9">
        <v>10.0</v>
      </c>
      <c r="F31" s="9">
        <f t="shared" si="26"/>
        <v>-0.25</v>
      </c>
      <c r="G31" s="10" t="s">
        <v>29</v>
      </c>
      <c r="H31" s="18">
        <v>0.0</v>
      </c>
      <c r="I31" s="11">
        <v>0.0</v>
      </c>
      <c r="J31" s="12">
        <v>0.0</v>
      </c>
      <c r="K31" s="10" t="s">
        <v>30</v>
      </c>
      <c r="L31" s="11">
        <v>7.0</v>
      </c>
      <c r="M31" s="11">
        <v>13.0</v>
      </c>
      <c r="N31" s="13">
        <f t="shared" si="28"/>
        <v>-0.3</v>
      </c>
      <c r="O31" s="10" t="s">
        <v>31</v>
      </c>
      <c r="P31" s="11">
        <v>8.0</v>
      </c>
      <c r="Q31" s="11">
        <v>2.0</v>
      </c>
      <c r="R31" s="13">
        <f t="shared" si="29"/>
        <v>0.6</v>
      </c>
      <c r="S31" s="10" t="s">
        <v>32</v>
      </c>
      <c r="T31" s="11">
        <v>8.0</v>
      </c>
      <c r="U31" s="11">
        <v>13.0</v>
      </c>
      <c r="V31" s="13">
        <f>DIVIDE(MINUS(T31,U31),SUM(T31:U31))</f>
        <v>-0.2380952381</v>
      </c>
    </row>
    <row r="32">
      <c r="C32" s="15" t="s">
        <v>33</v>
      </c>
      <c r="F32" s="16">
        <f>AVERAGE(F28:F31)</f>
        <v>-0.001973684211</v>
      </c>
      <c r="G32" s="15" t="s">
        <v>33</v>
      </c>
      <c r="J32" s="16">
        <f>AVERAGE(J28:J31)</f>
        <v>0.1586134454</v>
      </c>
      <c r="K32" s="15" t="s">
        <v>33</v>
      </c>
      <c r="N32" s="16">
        <f>AVERAGE(N28:N31)</f>
        <v>0.1323863636</v>
      </c>
      <c r="O32" s="15" t="s">
        <v>33</v>
      </c>
      <c r="R32" s="16">
        <f>AVERAGE(R28:R31)</f>
        <v>0.6</v>
      </c>
      <c r="S32" s="15" t="s">
        <v>33</v>
      </c>
      <c r="V32" s="16">
        <f>AVERAGE(V28:V31)</f>
        <v>0.1071428571</v>
      </c>
    </row>
    <row r="33">
      <c r="A33" s="5" t="s">
        <v>39</v>
      </c>
      <c r="B33" s="8" t="s">
        <v>12</v>
      </c>
      <c r="C33" s="5" t="s">
        <v>13</v>
      </c>
      <c r="D33" s="9">
        <v>8.0</v>
      </c>
      <c r="E33" s="9">
        <v>2.0</v>
      </c>
      <c r="F33" s="9">
        <f t="shared" ref="F33:F36" si="31">DIVIDE(MINUS(D33,E33),SUM(D33:E33))</f>
        <v>0.6</v>
      </c>
      <c r="G33" s="10" t="s">
        <v>14</v>
      </c>
      <c r="H33" s="11">
        <v>0.0</v>
      </c>
      <c r="I33" s="11">
        <v>0.0</v>
      </c>
      <c r="J33" s="12">
        <v>0.0</v>
      </c>
      <c r="K33" s="10" t="s">
        <v>15</v>
      </c>
      <c r="L33" s="11">
        <v>4.0</v>
      </c>
      <c r="M33" s="11">
        <v>0.0</v>
      </c>
      <c r="N33" s="13">
        <f t="shared" ref="N33:N36" si="32">DIVIDE(MINUS(L33,M33),SUM(L33:M33))</f>
        <v>1</v>
      </c>
      <c r="O33" s="10" t="s">
        <v>16</v>
      </c>
      <c r="P33" s="11">
        <v>0.0</v>
      </c>
      <c r="Q33" s="11">
        <v>0.0</v>
      </c>
      <c r="R33" s="12">
        <v>0.0</v>
      </c>
      <c r="S33" s="10" t="s">
        <v>17</v>
      </c>
      <c r="T33" s="11">
        <v>6.0</v>
      </c>
      <c r="U33" s="11">
        <v>8.0</v>
      </c>
      <c r="V33" s="13">
        <f t="shared" ref="V33:V36" si="33">DIVIDE(MINUS(T33,U33),SUM(T33:U33))</f>
        <v>-0.1428571429</v>
      </c>
      <c r="X33" s="14">
        <f>AVERAGE(N33:N34)</f>
        <v>0.5714285714</v>
      </c>
      <c r="AB33" s="14">
        <f>AVERAGE(R33:R34)</f>
        <v>-0.03846153846</v>
      </c>
    </row>
    <row r="34">
      <c r="C34" s="5" t="s">
        <v>18</v>
      </c>
      <c r="D34" s="9">
        <v>7.0</v>
      </c>
      <c r="E34" s="9">
        <v>10.0</v>
      </c>
      <c r="F34" s="9">
        <f t="shared" si="31"/>
        <v>-0.1764705882</v>
      </c>
      <c r="G34" s="10" t="s">
        <v>19</v>
      </c>
      <c r="H34" s="11">
        <v>8.0</v>
      </c>
      <c r="I34" s="11">
        <v>11.0</v>
      </c>
      <c r="J34" s="13">
        <f t="shared" ref="J34:J36" si="34">DIVIDE(MINUS(H34,I34),SUM(H34:I34))</f>
        <v>-0.1578947368</v>
      </c>
      <c r="K34" s="10" t="s">
        <v>20</v>
      </c>
      <c r="L34" s="11">
        <v>8.0</v>
      </c>
      <c r="M34" s="11">
        <v>6.0</v>
      </c>
      <c r="N34" s="13">
        <f t="shared" si="32"/>
        <v>0.1428571429</v>
      </c>
      <c r="O34" s="10" t="s">
        <v>21</v>
      </c>
      <c r="P34" s="11">
        <v>6.0</v>
      </c>
      <c r="Q34" s="11">
        <v>7.0</v>
      </c>
      <c r="R34" s="13">
        <f t="shared" ref="R34:R36" si="35">DIVIDE(MINUS(P34,Q34),SUM(P34:Q34))</f>
        <v>-0.07692307692</v>
      </c>
      <c r="S34" s="10" t="s">
        <v>22</v>
      </c>
      <c r="T34" s="11">
        <v>8.0</v>
      </c>
      <c r="U34" s="11">
        <v>1.0</v>
      </c>
      <c r="V34" s="13">
        <f t="shared" si="33"/>
        <v>0.7777777778</v>
      </c>
    </row>
    <row r="35">
      <c r="C35" s="5" t="s">
        <v>23</v>
      </c>
      <c r="D35" s="9">
        <v>7.0</v>
      </c>
      <c r="E35" s="9">
        <v>13.0</v>
      </c>
      <c r="F35" s="9">
        <f t="shared" si="31"/>
        <v>-0.3</v>
      </c>
      <c r="G35" s="10" t="s">
        <v>24</v>
      </c>
      <c r="H35" s="11">
        <v>7.0</v>
      </c>
      <c r="I35" s="11">
        <v>1.0</v>
      </c>
      <c r="J35" s="13">
        <f t="shared" si="34"/>
        <v>0.75</v>
      </c>
      <c r="K35" s="10" t="s">
        <v>25</v>
      </c>
      <c r="L35" s="11">
        <v>8.0</v>
      </c>
      <c r="M35" s="11">
        <v>1.0</v>
      </c>
      <c r="N35" s="13">
        <f t="shared" si="32"/>
        <v>0.7777777778</v>
      </c>
      <c r="O35" s="10" t="s">
        <v>26</v>
      </c>
      <c r="P35" s="11">
        <v>8.0</v>
      </c>
      <c r="Q35" s="11">
        <v>10.0</v>
      </c>
      <c r="R35" s="13">
        <f t="shared" si="35"/>
        <v>-0.1111111111</v>
      </c>
      <c r="S35" s="10" t="s">
        <v>27</v>
      </c>
      <c r="T35" s="11">
        <v>2.0</v>
      </c>
      <c r="U35" s="11">
        <v>0.0</v>
      </c>
      <c r="V35" s="13">
        <f t="shared" si="33"/>
        <v>1</v>
      </c>
      <c r="X35" s="14">
        <f>AVERAGE(N35:N36)</f>
        <v>0.6161616162</v>
      </c>
      <c r="AB35" s="14">
        <f>AVERAGE(R35:R36)</f>
        <v>-0.2373737374</v>
      </c>
    </row>
    <row r="36">
      <c r="C36" s="5" t="s">
        <v>28</v>
      </c>
      <c r="D36" s="9">
        <v>6.0</v>
      </c>
      <c r="E36" s="9">
        <v>4.0</v>
      </c>
      <c r="F36" s="9">
        <f t="shared" si="31"/>
        <v>0.2</v>
      </c>
      <c r="G36" s="10" t="s">
        <v>29</v>
      </c>
      <c r="H36" s="11">
        <v>1.0</v>
      </c>
      <c r="I36" s="11">
        <v>0.0</v>
      </c>
      <c r="J36" s="13">
        <f t="shared" si="34"/>
        <v>1</v>
      </c>
      <c r="K36" s="10" t="s">
        <v>30</v>
      </c>
      <c r="L36" s="11">
        <v>8.0</v>
      </c>
      <c r="M36" s="11">
        <v>3.0</v>
      </c>
      <c r="N36" s="13">
        <f t="shared" si="32"/>
        <v>0.4545454545</v>
      </c>
      <c r="O36" s="10" t="s">
        <v>31</v>
      </c>
      <c r="P36" s="11">
        <v>7.0</v>
      </c>
      <c r="Q36" s="11">
        <v>15.0</v>
      </c>
      <c r="R36" s="13">
        <f t="shared" si="35"/>
        <v>-0.3636363636</v>
      </c>
      <c r="S36" s="10" t="s">
        <v>32</v>
      </c>
      <c r="T36" s="11">
        <v>8.0</v>
      </c>
      <c r="U36" s="11">
        <v>11.0</v>
      </c>
      <c r="V36" s="13">
        <f t="shared" si="33"/>
        <v>-0.1578947368</v>
      </c>
    </row>
    <row r="37">
      <c r="C37" s="15" t="s">
        <v>33</v>
      </c>
      <c r="F37" s="16">
        <f>AVERAGE(F33:F36)</f>
        <v>0.08088235294</v>
      </c>
      <c r="G37" s="15" t="s">
        <v>33</v>
      </c>
      <c r="J37" s="16">
        <f>AVERAGE(J33:J36)</f>
        <v>0.3980263158</v>
      </c>
      <c r="K37" s="15" t="s">
        <v>33</v>
      </c>
      <c r="N37" s="16">
        <f>AVERAGE(N33:N36)</f>
        <v>0.5937950938</v>
      </c>
      <c r="O37" s="15" t="s">
        <v>33</v>
      </c>
      <c r="R37" s="16">
        <f>AVERAGE(R33:R36)</f>
        <v>-0.1379176379</v>
      </c>
      <c r="S37" s="15" t="s">
        <v>33</v>
      </c>
      <c r="V37" s="16">
        <f>AVERAGE(V33:V36)</f>
        <v>0.3692564745</v>
      </c>
    </row>
    <row r="38">
      <c r="A38" s="19" t="s">
        <v>40</v>
      </c>
      <c r="B38" s="8" t="s">
        <v>12</v>
      </c>
      <c r="C38" s="5" t="s">
        <v>13</v>
      </c>
      <c r="D38" s="9">
        <v>6.0</v>
      </c>
      <c r="E38" s="9">
        <v>9.0</v>
      </c>
      <c r="F38" s="9">
        <f t="shared" ref="F38:F41" si="36">DIVIDE(MINUS(D38,E38),SUM(D38:E38))</f>
        <v>-0.2</v>
      </c>
      <c r="G38" s="10" t="s">
        <v>14</v>
      </c>
      <c r="H38" s="11">
        <v>2.0</v>
      </c>
      <c r="I38" s="11">
        <v>1.0</v>
      </c>
      <c r="J38" s="13">
        <f t="shared" ref="J38:J41" si="37">DIVIDE(MINUS(H38,I38),SUM(H38:I38))</f>
        <v>0.3333333333</v>
      </c>
      <c r="K38" s="10" t="s">
        <v>15</v>
      </c>
      <c r="L38" s="11">
        <v>3.0</v>
      </c>
      <c r="M38" s="11">
        <v>0.0</v>
      </c>
      <c r="N38" s="13">
        <f t="shared" ref="N38:N41" si="38">DIVIDE(MINUS(L38,M38),SUM(L38:M38))</f>
        <v>1</v>
      </c>
      <c r="O38" s="10" t="s">
        <v>16</v>
      </c>
      <c r="P38" s="11">
        <v>5.0</v>
      </c>
      <c r="Q38" s="11">
        <v>0.0</v>
      </c>
      <c r="R38" s="13">
        <f t="shared" ref="R38:R41" si="39">DIVIDE(MINUS(P38,Q38),SUM(P38:Q38))</f>
        <v>1</v>
      </c>
      <c r="S38" s="10" t="s">
        <v>17</v>
      </c>
      <c r="T38" s="11">
        <v>8.0</v>
      </c>
      <c r="U38" s="11">
        <v>0.0</v>
      </c>
      <c r="V38" s="13">
        <f t="shared" ref="V38:V41" si="40">DIVIDE(MINUS(T38,U38),SUM(T38:U38))</f>
        <v>1</v>
      </c>
      <c r="X38" s="14">
        <f>AVERAGE(N38:N39)</f>
        <v>0.5</v>
      </c>
      <c r="AB38" s="14">
        <f>AVERAGE(R38:R39)</f>
        <v>0.4666666667</v>
      </c>
    </row>
    <row r="39">
      <c r="C39" s="5" t="s">
        <v>18</v>
      </c>
      <c r="D39" s="9">
        <v>7.0</v>
      </c>
      <c r="E39" s="9">
        <v>7.0</v>
      </c>
      <c r="F39" s="9">
        <f t="shared" si="36"/>
        <v>0</v>
      </c>
      <c r="G39" s="10" t="s">
        <v>19</v>
      </c>
      <c r="H39" s="11">
        <v>8.0</v>
      </c>
      <c r="I39" s="11">
        <v>3.0</v>
      </c>
      <c r="J39" s="13">
        <f t="shared" si="37"/>
        <v>0.4545454545</v>
      </c>
      <c r="K39" s="10" t="s">
        <v>20</v>
      </c>
      <c r="L39" s="11">
        <v>8.0</v>
      </c>
      <c r="M39" s="11">
        <v>8.0</v>
      </c>
      <c r="N39" s="13">
        <f t="shared" si="38"/>
        <v>0</v>
      </c>
      <c r="O39" s="10" t="s">
        <v>21</v>
      </c>
      <c r="P39" s="11">
        <v>7.0</v>
      </c>
      <c r="Q39" s="11">
        <v>8.0</v>
      </c>
      <c r="R39" s="13">
        <f t="shared" si="39"/>
        <v>-0.06666666667</v>
      </c>
      <c r="S39" s="10" t="s">
        <v>22</v>
      </c>
      <c r="T39" s="11">
        <v>8.0</v>
      </c>
      <c r="U39" s="11">
        <v>2.0</v>
      </c>
      <c r="V39" s="13">
        <f t="shared" si="40"/>
        <v>0.6</v>
      </c>
    </row>
    <row r="40">
      <c r="C40" s="5" t="s">
        <v>23</v>
      </c>
      <c r="D40" s="9">
        <v>4.0</v>
      </c>
      <c r="E40" s="9">
        <v>3.0</v>
      </c>
      <c r="F40" s="9">
        <f t="shared" si="36"/>
        <v>0.1428571429</v>
      </c>
      <c r="G40" s="10" t="s">
        <v>24</v>
      </c>
      <c r="H40" s="11">
        <v>5.0</v>
      </c>
      <c r="I40" s="11">
        <v>5.0</v>
      </c>
      <c r="J40" s="13">
        <f t="shared" si="37"/>
        <v>0</v>
      </c>
      <c r="K40" s="10" t="s">
        <v>25</v>
      </c>
      <c r="L40" s="11">
        <v>8.0</v>
      </c>
      <c r="M40" s="11">
        <v>9.0</v>
      </c>
      <c r="N40" s="13">
        <f t="shared" si="38"/>
        <v>-0.05882352941</v>
      </c>
      <c r="O40" s="10" t="s">
        <v>26</v>
      </c>
      <c r="P40" s="11">
        <v>8.0</v>
      </c>
      <c r="Q40" s="11">
        <v>6.0</v>
      </c>
      <c r="R40" s="13">
        <f t="shared" si="39"/>
        <v>0.1428571429</v>
      </c>
      <c r="S40" s="10" t="s">
        <v>27</v>
      </c>
      <c r="T40" s="11">
        <v>6.0</v>
      </c>
      <c r="U40" s="11">
        <v>3.0</v>
      </c>
      <c r="V40" s="13">
        <f t="shared" si="40"/>
        <v>0.3333333333</v>
      </c>
      <c r="X40" s="14">
        <f>AVERAGE(N40:N41)</f>
        <v>0.3594771242</v>
      </c>
      <c r="AB40" s="14">
        <f>AVERAGE(R40:R41)</f>
        <v>0.4603174603</v>
      </c>
    </row>
    <row r="41">
      <c r="C41" s="5" t="s">
        <v>28</v>
      </c>
      <c r="D41" s="9">
        <v>8.0</v>
      </c>
      <c r="E41" s="9">
        <v>6.0</v>
      </c>
      <c r="F41" s="9">
        <f t="shared" si="36"/>
        <v>0.1428571429</v>
      </c>
      <c r="G41" s="10" t="s">
        <v>29</v>
      </c>
      <c r="H41" s="11">
        <v>5.0</v>
      </c>
      <c r="I41" s="11">
        <v>1.0</v>
      </c>
      <c r="J41" s="13">
        <f t="shared" si="37"/>
        <v>0.6666666667</v>
      </c>
      <c r="K41" s="10" t="s">
        <v>30</v>
      </c>
      <c r="L41" s="11">
        <v>8.0</v>
      </c>
      <c r="M41" s="11">
        <v>1.0</v>
      </c>
      <c r="N41" s="13">
        <f t="shared" si="38"/>
        <v>0.7777777778</v>
      </c>
      <c r="O41" s="10" t="s">
        <v>31</v>
      </c>
      <c r="P41" s="11">
        <v>8.0</v>
      </c>
      <c r="Q41" s="11">
        <v>1.0</v>
      </c>
      <c r="R41" s="13">
        <f t="shared" si="39"/>
        <v>0.7777777778</v>
      </c>
      <c r="S41" s="10" t="s">
        <v>32</v>
      </c>
      <c r="T41" s="11">
        <v>8.0</v>
      </c>
      <c r="U41" s="11">
        <v>6.0</v>
      </c>
      <c r="V41" s="13">
        <f t="shared" si="40"/>
        <v>0.1428571429</v>
      </c>
    </row>
    <row r="42">
      <c r="C42" s="15" t="s">
        <v>33</v>
      </c>
      <c r="F42" s="16">
        <f>AVERAGE(F38:F41)</f>
        <v>0.02142857143</v>
      </c>
      <c r="G42" s="15" t="s">
        <v>33</v>
      </c>
      <c r="J42" s="16">
        <f>AVERAGE(J38:J41)</f>
        <v>0.3636363636</v>
      </c>
      <c r="K42" s="15" t="s">
        <v>33</v>
      </c>
      <c r="N42" s="16">
        <f>AVERAGE(N38:N41)</f>
        <v>0.4297385621</v>
      </c>
      <c r="O42" s="15" t="s">
        <v>33</v>
      </c>
      <c r="R42" s="16">
        <f>AVERAGE(R38:R41)</f>
        <v>0.4634920635</v>
      </c>
      <c r="S42" s="15" t="s">
        <v>33</v>
      </c>
      <c r="V42" s="16">
        <f>AVERAGE(V38:V41)</f>
        <v>0.519047619</v>
      </c>
    </row>
    <row r="43">
      <c r="A43" s="19" t="s">
        <v>41</v>
      </c>
      <c r="B43" s="8" t="s">
        <v>12</v>
      </c>
      <c r="C43" s="5" t="s">
        <v>13</v>
      </c>
      <c r="D43" s="9">
        <v>7.0</v>
      </c>
      <c r="E43" s="9">
        <v>7.0</v>
      </c>
      <c r="F43" s="9">
        <f t="shared" ref="F43:F46" si="41">DIVIDE(MINUS(D43,E43),SUM(D43:E43))</f>
        <v>0</v>
      </c>
      <c r="G43" s="10" t="s">
        <v>14</v>
      </c>
      <c r="H43" s="11">
        <v>4.0</v>
      </c>
      <c r="I43" s="11">
        <v>0.0</v>
      </c>
      <c r="J43" s="13">
        <f t="shared" ref="J43:J46" si="42">DIVIDE(MINUS(H43,I43),SUM(H43:I43))</f>
        <v>1</v>
      </c>
      <c r="K43" s="10" t="s">
        <v>15</v>
      </c>
      <c r="L43" s="18">
        <v>0.0</v>
      </c>
      <c r="M43" s="11">
        <v>0.0</v>
      </c>
      <c r="N43" s="12">
        <v>0.0</v>
      </c>
      <c r="O43" s="10" t="s">
        <v>16</v>
      </c>
      <c r="P43" s="11">
        <v>7.0</v>
      </c>
      <c r="Q43" s="11">
        <v>4.0</v>
      </c>
      <c r="R43" s="13">
        <f t="shared" ref="R43:R46" si="43">DIVIDE(MINUS(P43,Q43),SUM(P43:Q43))</f>
        <v>0.2727272727</v>
      </c>
      <c r="S43" s="10" t="s">
        <v>17</v>
      </c>
      <c r="T43" s="11">
        <v>8.0</v>
      </c>
      <c r="U43" s="11">
        <v>1.0</v>
      </c>
      <c r="V43" s="13">
        <f t="shared" ref="V43:V46" si="44">DIVIDE(MINUS(T43,U43),SUM(T43:U43))</f>
        <v>0.7777777778</v>
      </c>
      <c r="X43" s="14">
        <f>AVERAGE(N43:N44)</f>
        <v>0.3888888889</v>
      </c>
      <c r="AB43" s="14">
        <f>AVERAGE(R43:R44)</f>
        <v>0.03636363636</v>
      </c>
    </row>
    <row r="44">
      <c r="C44" s="5" t="s">
        <v>18</v>
      </c>
      <c r="D44" s="9">
        <v>8.0</v>
      </c>
      <c r="E44" s="9">
        <v>5.0</v>
      </c>
      <c r="F44" s="9">
        <f t="shared" si="41"/>
        <v>0.2307692308</v>
      </c>
      <c r="G44" s="10" t="s">
        <v>19</v>
      </c>
      <c r="H44" s="11">
        <v>8.0</v>
      </c>
      <c r="I44" s="11">
        <v>0.0</v>
      </c>
      <c r="J44" s="13">
        <f t="shared" si="42"/>
        <v>1</v>
      </c>
      <c r="K44" s="10" t="s">
        <v>20</v>
      </c>
      <c r="L44" s="11">
        <v>8.0</v>
      </c>
      <c r="M44" s="11">
        <v>1.0</v>
      </c>
      <c r="N44" s="13">
        <f t="shared" ref="N44:N46" si="45">DIVIDE(MINUS(L44,M44),SUM(L44:M44))</f>
        <v>0.7777777778</v>
      </c>
      <c r="O44" s="10" t="s">
        <v>21</v>
      </c>
      <c r="P44" s="11">
        <v>8.0</v>
      </c>
      <c r="Q44" s="11">
        <v>12.0</v>
      </c>
      <c r="R44" s="13">
        <f t="shared" si="43"/>
        <v>-0.2</v>
      </c>
      <c r="S44" s="10" t="s">
        <v>22</v>
      </c>
      <c r="T44" s="11">
        <v>7.0</v>
      </c>
      <c r="U44" s="11">
        <v>9.0</v>
      </c>
      <c r="V44" s="13">
        <f t="shared" si="44"/>
        <v>-0.125</v>
      </c>
    </row>
    <row r="45">
      <c r="C45" s="5" t="s">
        <v>23</v>
      </c>
      <c r="D45" s="9">
        <v>8.0</v>
      </c>
      <c r="E45" s="9">
        <v>2.0</v>
      </c>
      <c r="F45" s="9">
        <f t="shared" si="41"/>
        <v>0.6</v>
      </c>
      <c r="G45" s="10" t="s">
        <v>24</v>
      </c>
      <c r="H45" s="11">
        <v>5.0</v>
      </c>
      <c r="I45" s="11">
        <v>2.0</v>
      </c>
      <c r="J45" s="13">
        <f t="shared" si="42"/>
        <v>0.4285714286</v>
      </c>
      <c r="K45" s="10" t="s">
        <v>25</v>
      </c>
      <c r="L45" s="11">
        <v>8.0</v>
      </c>
      <c r="M45" s="11">
        <v>6.0</v>
      </c>
      <c r="N45" s="13">
        <f t="shared" si="45"/>
        <v>0.1428571429</v>
      </c>
      <c r="O45" s="10" t="s">
        <v>26</v>
      </c>
      <c r="P45" s="11">
        <v>8.0</v>
      </c>
      <c r="Q45" s="11">
        <v>12.0</v>
      </c>
      <c r="R45" s="13">
        <f t="shared" si="43"/>
        <v>-0.2</v>
      </c>
      <c r="S45" s="10" t="s">
        <v>27</v>
      </c>
      <c r="T45" s="11">
        <v>7.0</v>
      </c>
      <c r="U45" s="11">
        <v>7.0</v>
      </c>
      <c r="V45" s="13">
        <f t="shared" si="44"/>
        <v>0</v>
      </c>
      <c r="X45" s="14">
        <f>AVERAGE(N45:N46)</f>
        <v>-0.09523809524</v>
      </c>
      <c r="AB45" s="14">
        <f>AVERAGE(R45:R46)</f>
        <v>0.2</v>
      </c>
    </row>
    <row r="46">
      <c r="C46" s="5" t="s">
        <v>28</v>
      </c>
      <c r="D46" s="9">
        <v>6.0</v>
      </c>
      <c r="E46" s="9">
        <v>3.0</v>
      </c>
      <c r="F46" s="9">
        <f t="shared" si="41"/>
        <v>0.3333333333</v>
      </c>
      <c r="G46" s="10" t="s">
        <v>29</v>
      </c>
      <c r="H46" s="11">
        <v>8.0</v>
      </c>
      <c r="I46" s="11">
        <v>4.0</v>
      </c>
      <c r="J46" s="13">
        <f t="shared" si="42"/>
        <v>0.3333333333</v>
      </c>
      <c r="K46" s="10" t="s">
        <v>30</v>
      </c>
      <c r="L46" s="11">
        <v>7.0</v>
      </c>
      <c r="M46" s="11">
        <v>14.0</v>
      </c>
      <c r="N46" s="13">
        <f t="shared" si="45"/>
        <v>-0.3333333333</v>
      </c>
      <c r="O46" s="10" t="s">
        <v>31</v>
      </c>
      <c r="P46" s="11">
        <v>8.0</v>
      </c>
      <c r="Q46" s="11">
        <v>2.0</v>
      </c>
      <c r="R46" s="13">
        <f t="shared" si="43"/>
        <v>0.6</v>
      </c>
      <c r="S46" s="10" t="s">
        <v>32</v>
      </c>
      <c r="T46" s="11">
        <v>8.0</v>
      </c>
      <c r="U46" s="11">
        <v>3.0</v>
      </c>
      <c r="V46" s="13">
        <f t="shared" si="44"/>
        <v>0.4545454545</v>
      </c>
    </row>
    <row r="47">
      <c r="C47" s="15" t="s">
        <v>33</v>
      </c>
      <c r="F47" s="16">
        <f>AVERAGE(F43:F46)</f>
        <v>0.291025641</v>
      </c>
      <c r="G47" s="15" t="s">
        <v>33</v>
      </c>
      <c r="J47" s="16">
        <f>AVERAGE(J43:J46)</f>
        <v>0.6904761905</v>
      </c>
      <c r="K47" s="15" t="s">
        <v>33</v>
      </c>
      <c r="N47" s="16">
        <f>AVERAGE(N43:N46)</f>
        <v>0.1468253968</v>
      </c>
      <c r="O47" s="15" t="s">
        <v>33</v>
      </c>
      <c r="R47" s="16">
        <f>AVERAGE(R43:R46)</f>
        <v>0.1181818182</v>
      </c>
      <c r="S47" s="15" t="s">
        <v>33</v>
      </c>
      <c r="V47" s="16">
        <f>AVERAGE(V43:V46)</f>
        <v>0.2768308081</v>
      </c>
    </row>
    <row r="48">
      <c r="A48" s="19" t="s">
        <v>42</v>
      </c>
      <c r="B48" s="8" t="s">
        <v>12</v>
      </c>
      <c r="C48" s="5" t="s">
        <v>13</v>
      </c>
      <c r="D48" s="9">
        <v>6.0</v>
      </c>
      <c r="E48" s="9">
        <v>5.0</v>
      </c>
      <c r="F48" s="9">
        <f t="shared" ref="F48:F51" si="46">DIVIDE(MINUS(D48,E48),SUM(D48:E48))</f>
        <v>0.09090909091</v>
      </c>
      <c r="G48" s="10" t="s">
        <v>14</v>
      </c>
      <c r="H48" s="11">
        <v>5.0</v>
      </c>
      <c r="I48" s="11">
        <v>4.0</v>
      </c>
      <c r="J48" s="13">
        <f t="shared" ref="J48:J51" si="47">DIVIDE(MINUS(H48,I48),SUM(H48:I48))</f>
        <v>0.1111111111</v>
      </c>
      <c r="K48" s="10" t="s">
        <v>15</v>
      </c>
      <c r="L48" s="11">
        <v>3.0</v>
      </c>
      <c r="M48" s="11">
        <v>0.0</v>
      </c>
      <c r="N48" s="13">
        <f t="shared" ref="N48:N51" si="48">DIVIDE(MINUS(L48,M48),SUM(L48:M48))</f>
        <v>1</v>
      </c>
      <c r="O48" s="10" t="s">
        <v>16</v>
      </c>
      <c r="P48" s="11">
        <v>7.0</v>
      </c>
      <c r="Q48" s="11">
        <v>6.0</v>
      </c>
      <c r="R48" s="13">
        <f t="shared" ref="R48:R51" si="49">DIVIDE(MINUS(P48,Q48),SUM(P48:Q48))</f>
        <v>0.07692307692</v>
      </c>
      <c r="S48" s="10" t="s">
        <v>17</v>
      </c>
      <c r="T48" s="11">
        <v>7.0</v>
      </c>
      <c r="U48" s="11">
        <v>16.0</v>
      </c>
      <c r="V48" s="13">
        <f t="shared" ref="V48:V51" si="50">DIVIDE(MINUS(T48,U48),SUM(T48:U48))</f>
        <v>-0.3913043478</v>
      </c>
      <c r="X48" s="14">
        <f>AVERAGE(N48:N49)</f>
        <v>0.6666666667</v>
      </c>
      <c r="AB48" s="14">
        <f>AVERAGE(R48:R49)</f>
        <v>-0.06153846154</v>
      </c>
    </row>
    <row r="49">
      <c r="C49" s="5" t="s">
        <v>18</v>
      </c>
      <c r="D49" s="9">
        <v>6.0</v>
      </c>
      <c r="E49" s="9">
        <v>5.0</v>
      </c>
      <c r="F49" s="9">
        <f t="shared" si="46"/>
        <v>0.09090909091</v>
      </c>
      <c r="G49" s="10" t="s">
        <v>19</v>
      </c>
      <c r="H49" s="11">
        <v>8.0</v>
      </c>
      <c r="I49" s="11">
        <v>2.0</v>
      </c>
      <c r="J49" s="13">
        <f t="shared" si="47"/>
        <v>0.6</v>
      </c>
      <c r="K49" s="10" t="s">
        <v>20</v>
      </c>
      <c r="L49" s="11">
        <v>8.0</v>
      </c>
      <c r="M49" s="11">
        <v>4.0</v>
      </c>
      <c r="N49" s="13">
        <f t="shared" si="48"/>
        <v>0.3333333333</v>
      </c>
      <c r="O49" s="10" t="s">
        <v>21</v>
      </c>
      <c r="P49" s="11">
        <v>8.0</v>
      </c>
      <c r="Q49" s="11">
        <v>12.0</v>
      </c>
      <c r="R49" s="13">
        <f t="shared" si="49"/>
        <v>-0.2</v>
      </c>
      <c r="S49" s="10" t="s">
        <v>22</v>
      </c>
      <c r="T49" s="11">
        <v>7.0</v>
      </c>
      <c r="U49" s="11">
        <v>7.0</v>
      </c>
      <c r="V49" s="13">
        <f t="shared" si="50"/>
        <v>0</v>
      </c>
    </row>
    <row r="50">
      <c r="C50" s="5" t="s">
        <v>23</v>
      </c>
      <c r="D50" s="9">
        <v>8.0</v>
      </c>
      <c r="E50" s="9">
        <v>4.0</v>
      </c>
      <c r="F50" s="9">
        <f t="shared" si="46"/>
        <v>0.3333333333</v>
      </c>
      <c r="G50" s="10" t="s">
        <v>24</v>
      </c>
      <c r="H50" s="11">
        <v>8.0</v>
      </c>
      <c r="I50" s="11">
        <v>3.0</v>
      </c>
      <c r="J50" s="13">
        <f t="shared" si="47"/>
        <v>0.4545454545</v>
      </c>
      <c r="K50" s="10" t="s">
        <v>25</v>
      </c>
      <c r="L50" s="11">
        <v>8.0</v>
      </c>
      <c r="M50" s="11">
        <v>6.0</v>
      </c>
      <c r="N50" s="13">
        <f t="shared" si="48"/>
        <v>0.1428571429</v>
      </c>
      <c r="O50" s="10" t="s">
        <v>26</v>
      </c>
      <c r="P50" s="11">
        <v>8.0</v>
      </c>
      <c r="Q50" s="11">
        <v>15.0</v>
      </c>
      <c r="R50" s="13">
        <f t="shared" si="49"/>
        <v>-0.3043478261</v>
      </c>
      <c r="S50" s="10" t="s">
        <v>27</v>
      </c>
      <c r="T50" s="11">
        <v>7.0</v>
      </c>
      <c r="U50" s="11">
        <v>12.0</v>
      </c>
      <c r="V50" s="13">
        <f t="shared" si="50"/>
        <v>-0.2631578947</v>
      </c>
      <c r="X50" s="14">
        <f>AVERAGE(N50:N51)</f>
        <v>0.04201680672</v>
      </c>
      <c r="AB50" s="14">
        <f>AVERAGE(R50:R51)</f>
        <v>-0.152173913</v>
      </c>
    </row>
    <row r="51">
      <c r="C51" s="5" t="s">
        <v>28</v>
      </c>
      <c r="D51" s="9">
        <v>8.0</v>
      </c>
      <c r="E51" s="9">
        <v>7.0</v>
      </c>
      <c r="F51" s="9">
        <f t="shared" si="46"/>
        <v>0.06666666667</v>
      </c>
      <c r="G51" s="10" t="s">
        <v>29</v>
      </c>
      <c r="H51" s="11">
        <v>8.0</v>
      </c>
      <c r="I51" s="11">
        <v>6.0</v>
      </c>
      <c r="J51" s="13">
        <f t="shared" si="47"/>
        <v>0.1428571429</v>
      </c>
      <c r="K51" s="10" t="s">
        <v>30</v>
      </c>
      <c r="L51" s="11">
        <v>8.0</v>
      </c>
      <c r="M51" s="11">
        <v>9.0</v>
      </c>
      <c r="N51" s="13">
        <f t="shared" si="48"/>
        <v>-0.05882352941</v>
      </c>
      <c r="O51" s="10" t="s">
        <v>31</v>
      </c>
      <c r="P51" s="11">
        <v>8.0</v>
      </c>
      <c r="Q51" s="11">
        <v>8.0</v>
      </c>
      <c r="R51" s="13">
        <f t="shared" si="49"/>
        <v>0</v>
      </c>
      <c r="S51" s="10" t="s">
        <v>32</v>
      </c>
      <c r="T51" s="11">
        <v>7.0</v>
      </c>
      <c r="U51" s="11">
        <v>13.0</v>
      </c>
      <c r="V51" s="13">
        <f t="shared" si="50"/>
        <v>-0.3</v>
      </c>
    </row>
    <row r="52">
      <c r="C52" s="15" t="s">
        <v>33</v>
      </c>
      <c r="F52" s="16">
        <f>AVERAGE(F48:F51)</f>
        <v>0.1454545455</v>
      </c>
      <c r="G52" s="15" t="s">
        <v>33</v>
      </c>
      <c r="J52" s="16">
        <f>AVERAGE(J48:J51)</f>
        <v>0.3271284271</v>
      </c>
      <c r="K52" s="15" t="s">
        <v>33</v>
      </c>
      <c r="N52" s="16">
        <f>AVERAGE(N48:N51)</f>
        <v>0.3543417367</v>
      </c>
      <c r="O52" s="15" t="s">
        <v>33</v>
      </c>
      <c r="R52" s="16">
        <f>AVERAGE(R48:R51)</f>
        <v>-0.1068561873</v>
      </c>
      <c r="S52" s="15" t="s">
        <v>33</v>
      </c>
      <c r="V52" s="16">
        <f>AVERAGE(V48:V51)</f>
        <v>-0.2386155606</v>
      </c>
    </row>
    <row r="53">
      <c r="A53" s="4" t="s">
        <v>43</v>
      </c>
      <c r="B53" s="8" t="s">
        <v>12</v>
      </c>
      <c r="C53" s="5" t="s">
        <v>13</v>
      </c>
      <c r="D53" s="9">
        <v>8.0</v>
      </c>
      <c r="E53" s="9">
        <v>16.0</v>
      </c>
      <c r="F53" s="9">
        <f t="shared" ref="F53:F56" si="51">DIVIDE(MINUS(D53,E53),SUM(D53:E53))</f>
        <v>-0.3333333333</v>
      </c>
      <c r="G53" s="10" t="s">
        <v>14</v>
      </c>
      <c r="H53" s="11">
        <v>6.0</v>
      </c>
      <c r="I53" s="11">
        <v>1.0</v>
      </c>
      <c r="J53" s="13">
        <f t="shared" ref="J53:J54" si="52">DIVIDE(MINUS(H52,I53),SUM(H53:I53))</f>
        <v>-0.1428571429</v>
      </c>
      <c r="K53" s="10" t="s">
        <v>15</v>
      </c>
      <c r="L53" s="11">
        <v>0.0</v>
      </c>
      <c r="M53" s="11">
        <v>0.0</v>
      </c>
      <c r="N53" s="12">
        <v>0.0</v>
      </c>
      <c r="O53" s="10" t="s">
        <v>16</v>
      </c>
      <c r="P53" s="11">
        <v>3.0</v>
      </c>
      <c r="Q53" s="11">
        <v>0.0</v>
      </c>
      <c r="R53" s="13">
        <f t="shared" ref="R53:R56" si="53">DIVIDE(MINUS(P53,Q53),SUM(P53:Q53))</f>
        <v>1</v>
      </c>
      <c r="S53" s="10" t="s">
        <v>17</v>
      </c>
      <c r="T53" s="11">
        <v>5.0</v>
      </c>
      <c r="U53" s="11">
        <v>3.0</v>
      </c>
      <c r="V53" s="13">
        <f t="shared" ref="V53:V56" si="54">DIVIDE(MINUS(T53,U53),SUM(T53:U53))</f>
        <v>0.25</v>
      </c>
      <c r="X53" s="14">
        <f>AVERAGE(N53:N54)</f>
        <v>0.07142857143</v>
      </c>
      <c r="AB53" s="14">
        <f>AVERAGE(R53:R54)</f>
        <v>0.75</v>
      </c>
    </row>
    <row r="54">
      <c r="C54" s="5" t="s">
        <v>18</v>
      </c>
      <c r="D54" s="9">
        <v>8.0</v>
      </c>
      <c r="E54" s="9">
        <v>3.0</v>
      </c>
      <c r="F54" s="9">
        <f t="shared" si="51"/>
        <v>0.4545454545</v>
      </c>
      <c r="G54" s="10" t="s">
        <v>19</v>
      </c>
      <c r="H54" s="18">
        <v>6.0</v>
      </c>
      <c r="I54" s="11">
        <v>14.0</v>
      </c>
      <c r="J54" s="13">
        <f t="shared" si="52"/>
        <v>-0.4</v>
      </c>
      <c r="K54" s="10" t="s">
        <v>20</v>
      </c>
      <c r="L54" s="11">
        <v>8.0</v>
      </c>
      <c r="M54" s="11">
        <v>6.0</v>
      </c>
      <c r="N54" s="13">
        <f t="shared" ref="N54:N56" si="55">DIVIDE(MINUS(L54,M54),SUM(L54:M54))</f>
        <v>0.1428571429</v>
      </c>
      <c r="O54" s="10" t="s">
        <v>21</v>
      </c>
      <c r="P54" s="11">
        <v>6.0</v>
      </c>
      <c r="Q54" s="11">
        <v>2.0</v>
      </c>
      <c r="R54" s="13">
        <f t="shared" si="53"/>
        <v>0.5</v>
      </c>
      <c r="S54" s="10" t="s">
        <v>22</v>
      </c>
      <c r="T54" s="11">
        <v>4.0</v>
      </c>
      <c r="U54" s="11">
        <v>0.0</v>
      </c>
      <c r="V54" s="13">
        <f t="shared" si="54"/>
        <v>1</v>
      </c>
    </row>
    <row r="55">
      <c r="C55" s="5" t="s">
        <v>23</v>
      </c>
      <c r="D55" s="9">
        <v>8.0</v>
      </c>
      <c r="E55" s="9">
        <v>9.0</v>
      </c>
      <c r="F55" s="9">
        <f t="shared" si="51"/>
        <v>-0.05882352941</v>
      </c>
      <c r="G55" s="10" t="s">
        <v>24</v>
      </c>
      <c r="H55" s="11">
        <v>3.0</v>
      </c>
      <c r="I55" s="11">
        <v>1.0</v>
      </c>
      <c r="J55" s="13">
        <f t="shared" ref="J55:J56" si="56">DIVIDE(MINUS(H55,I55),SUM(H55:I55))</f>
        <v>0.5</v>
      </c>
      <c r="K55" s="10" t="s">
        <v>25</v>
      </c>
      <c r="L55" s="11">
        <v>7.0</v>
      </c>
      <c r="M55" s="11">
        <v>22.0</v>
      </c>
      <c r="N55" s="13">
        <f t="shared" si="55"/>
        <v>-0.5172413793</v>
      </c>
      <c r="O55" s="10" t="s">
        <v>26</v>
      </c>
      <c r="P55" s="11">
        <v>7.0</v>
      </c>
      <c r="Q55" s="11">
        <v>9.0</v>
      </c>
      <c r="R55" s="13">
        <f t="shared" si="53"/>
        <v>-0.125</v>
      </c>
      <c r="S55" s="10" t="s">
        <v>27</v>
      </c>
      <c r="T55" s="11">
        <v>8.0</v>
      </c>
      <c r="U55" s="11">
        <v>9.0</v>
      </c>
      <c r="V55" s="13">
        <f t="shared" si="54"/>
        <v>-0.05882352941</v>
      </c>
      <c r="X55" s="14">
        <f>AVERAGE(N55:N56)</f>
        <v>-0.09195402299</v>
      </c>
      <c r="AB55" s="14">
        <f>AVERAGE(R55:R56)</f>
        <v>-0.1180555556</v>
      </c>
    </row>
    <row r="56">
      <c r="C56" s="5" t="s">
        <v>28</v>
      </c>
      <c r="D56" s="9">
        <v>7.0</v>
      </c>
      <c r="E56" s="9">
        <v>8.0</v>
      </c>
      <c r="F56" s="9">
        <f t="shared" si="51"/>
        <v>-0.06666666667</v>
      </c>
      <c r="G56" s="10" t="s">
        <v>29</v>
      </c>
      <c r="H56" s="11">
        <v>7.0</v>
      </c>
      <c r="I56" s="11">
        <v>7.0</v>
      </c>
      <c r="J56" s="13">
        <f t="shared" si="56"/>
        <v>0</v>
      </c>
      <c r="K56" s="10" t="s">
        <v>30</v>
      </c>
      <c r="L56" s="11">
        <v>8.0</v>
      </c>
      <c r="M56" s="11">
        <v>4.0</v>
      </c>
      <c r="N56" s="13">
        <f t="shared" si="55"/>
        <v>0.3333333333</v>
      </c>
      <c r="O56" s="10" t="s">
        <v>31</v>
      </c>
      <c r="P56" s="11">
        <v>8.0</v>
      </c>
      <c r="Q56" s="11">
        <v>10.0</v>
      </c>
      <c r="R56" s="13">
        <f t="shared" si="53"/>
        <v>-0.1111111111</v>
      </c>
      <c r="S56" s="10" t="s">
        <v>32</v>
      </c>
      <c r="T56" s="11">
        <v>7.0</v>
      </c>
      <c r="U56" s="11">
        <v>7.0</v>
      </c>
      <c r="V56" s="13">
        <f t="shared" si="54"/>
        <v>0</v>
      </c>
    </row>
    <row r="57">
      <c r="C57" s="15" t="s">
        <v>33</v>
      </c>
      <c r="F57" s="16">
        <f>AVERAGE(F53:F56)</f>
        <v>-0.001069518717</v>
      </c>
      <c r="G57" s="15" t="s">
        <v>33</v>
      </c>
      <c r="J57" s="16">
        <f>AVERAGE(J53:J56)</f>
        <v>-0.01071428571</v>
      </c>
      <c r="K57" s="15" t="s">
        <v>33</v>
      </c>
      <c r="N57" s="16">
        <f>AVERAGE(N53:N56)</f>
        <v>-0.01026272578</v>
      </c>
      <c r="O57" s="15" t="s">
        <v>33</v>
      </c>
      <c r="R57" s="16">
        <f>AVERAGE(R53:R56)</f>
        <v>0.3159722222</v>
      </c>
      <c r="S57" s="15" t="s">
        <v>33</v>
      </c>
      <c r="V57" s="16">
        <f>AVERAGE(V53:V56)</f>
        <v>0.2977941176</v>
      </c>
    </row>
    <row r="58">
      <c r="A58" s="4" t="s">
        <v>44</v>
      </c>
      <c r="B58" s="8" t="s">
        <v>12</v>
      </c>
      <c r="C58" s="5" t="s">
        <v>13</v>
      </c>
      <c r="D58" s="9">
        <v>8.0</v>
      </c>
      <c r="E58" s="9">
        <v>6.0</v>
      </c>
      <c r="F58" s="9">
        <f t="shared" ref="F58:F61" si="57">DIVIDE(MINUS(D58,E58),SUM(D58:E58))</f>
        <v>0.1428571429</v>
      </c>
      <c r="G58" s="10" t="s">
        <v>14</v>
      </c>
      <c r="H58" s="11">
        <v>6.0</v>
      </c>
      <c r="I58" s="11">
        <v>8.0</v>
      </c>
      <c r="J58" s="13">
        <f t="shared" ref="J58:J61" si="58">DIVIDE(MINUS(H58,I58),SUM(H58:I58))</f>
        <v>-0.1428571429</v>
      </c>
      <c r="K58" s="10" t="s">
        <v>15</v>
      </c>
      <c r="L58" s="17"/>
      <c r="M58" s="17"/>
      <c r="N58" s="13" t="str">
        <f t="shared" ref="N58:N61" si="59">DIVIDE(MINUS(L58,M58),SUM(L58:M58))</f>
        <v>#DIV/0!</v>
      </c>
      <c r="O58" s="10" t="s">
        <v>16</v>
      </c>
      <c r="P58" s="17"/>
      <c r="Q58" s="17"/>
      <c r="R58" s="13" t="str">
        <f t="shared" ref="R58:R61" si="60">DIVIDE(MINUS(P58,Q58),SUM(P58:Q58))</f>
        <v>#DIV/0!</v>
      </c>
      <c r="S58" s="10" t="s">
        <v>17</v>
      </c>
      <c r="T58" s="11">
        <v>7.0</v>
      </c>
      <c r="U58" s="11">
        <v>10.0</v>
      </c>
      <c r="V58" s="13">
        <f t="shared" ref="V58:V61" si="61">DIVIDE(MINUS(T58,U58),SUM(T58:U58))</f>
        <v>-0.1764705882</v>
      </c>
      <c r="X58" s="14" t="str">
        <f>AVERAGE(N58:N59)</f>
        <v>#DIV/0!</v>
      </c>
      <c r="AB58" s="14" t="str">
        <f>AVERAGE(R58:R59)</f>
        <v>#DIV/0!</v>
      </c>
    </row>
    <row r="59">
      <c r="C59" s="5" t="s">
        <v>18</v>
      </c>
      <c r="D59" s="9">
        <v>5.0</v>
      </c>
      <c r="E59" s="9">
        <v>2.0</v>
      </c>
      <c r="F59" s="9">
        <f t="shared" si="57"/>
        <v>0.4285714286</v>
      </c>
      <c r="G59" s="10" t="s">
        <v>19</v>
      </c>
      <c r="H59" s="11">
        <v>7.0</v>
      </c>
      <c r="I59" s="11">
        <v>19.0</v>
      </c>
      <c r="J59" s="13">
        <f t="shared" si="58"/>
        <v>-0.4615384615</v>
      </c>
      <c r="K59" s="10" t="s">
        <v>20</v>
      </c>
      <c r="L59" s="17"/>
      <c r="M59" s="17"/>
      <c r="N59" s="13" t="str">
        <f t="shared" si="59"/>
        <v>#DIV/0!</v>
      </c>
      <c r="O59" s="10" t="s">
        <v>21</v>
      </c>
      <c r="P59" s="17"/>
      <c r="Q59" s="17"/>
      <c r="R59" s="13" t="str">
        <f t="shared" si="60"/>
        <v>#DIV/0!</v>
      </c>
      <c r="S59" s="10" t="s">
        <v>22</v>
      </c>
      <c r="T59" s="11">
        <v>8.0</v>
      </c>
      <c r="U59" s="11">
        <v>2.0</v>
      </c>
      <c r="V59" s="13">
        <f t="shared" si="61"/>
        <v>0.6</v>
      </c>
    </row>
    <row r="60">
      <c r="C60" s="5" t="s">
        <v>23</v>
      </c>
      <c r="D60" s="9">
        <v>8.0</v>
      </c>
      <c r="E60" s="9">
        <v>4.0</v>
      </c>
      <c r="F60" s="9">
        <f t="shared" si="57"/>
        <v>0.3333333333</v>
      </c>
      <c r="G60" s="10" t="s">
        <v>24</v>
      </c>
      <c r="H60" s="11">
        <v>4.0</v>
      </c>
      <c r="I60" s="11">
        <v>1.0</v>
      </c>
      <c r="J60" s="13">
        <f t="shared" si="58"/>
        <v>0.6</v>
      </c>
      <c r="K60" s="10" t="s">
        <v>25</v>
      </c>
      <c r="L60" s="11">
        <v>8.0</v>
      </c>
      <c r="M60" s="11">
        <v>4.0</v>
      </c>
      <c r="N60" s="13">
        <f t="shared" si="59"/>
        <v>0.3333333333</v>
      </c>
      <c r="O60" s="10" t="s">
        <v>26</v>
      </c>
      <c r="P60" s="17"/>
      <c r="Q60" s="17"/>
      <c r="R60" s="13" t="str">
        <f t="shared" si="60"/>
        <v>#DIV/0!</v>
      </c>
      <c r="S60" s="10" t="s">
        <v>27</v>
      </c>
      <c r="T60" s="11">
        <v>7.0</v>
      </c>
      <c r="U60" s="11">
        <v>18.0</v>
      </c>
      <c r="V60" s="13">
        <f t="shared" si="61"/>
        <v>-0.44</v>
      </c>
      <c r="X60" s="14">
        <f>AVERAGE(N60:N61)</f>
        <v>0.5555555556</v>
      </c>
      <c r="AB60" s="14">
        <f>AVERAGE(R61)</f>
        <v>0.2307692308</v>
      </c>
    </row>
    <row r="61">
      <c r="C61" s="5" t="s">
        <v>28</v>
      </c>
      <c r="D61" s="9">
        <v>8.0</v>
      </c>
      <c r="E61" s="9">
        <v>9.0</v>
      </c>
      <c r="F61" s="9">
        <f t="shared" si="57"/>
        <v>-0.05882352941</v>
      </c>
      <c r="G61" s="10" t="s">
        <v>29</v>
      </c>
      <c r="H61" s="11">
        <v>8.0</v>
      </c>
      <c r="I61" s="11">
        <v>5.0</v>
      </c>
      <c r="J61" s="13">
        <f t="shared" si="58"/>
        <v>0.2307692308</v>
      </c>
      <c r="K61" s="10" t="s">
        <v>30</v>
      </c>
      <c r="L61" s="11">
        <v>8.0</v>
      </c>
      <c r="M61" s="11">
        <v>1.0</v>
      </c>
      <c r="N61" s="13">
        <f t="shared" si="59"/>
        <v>0.7777777778</v>
      </c>
      <c r="O61" s="10" t="s">
        <v>31</v>
      </c>
      <c r="P61" s="11">
        <v>8.0</v>
      </c>
      <c r="Q61" s="11">
        <v>5.0</v>
      </c>
      <c r="R61" s="13">
        <f t="shared" si="60"/>
        <v>0.2307692308</v>
      </c>
      <c r="S61" s="10" t="s">
        <v>32</v>
      </c>
      <c r="T61" s="11">
        <v>8.0</v>
      </c>
      <c r="U61" s="11">
        <v>8.0</v>
      </c>
      <c r="V61" s="13">
        <f t="shared" si="61"/>
        <v>0</v>
      </c>
    </row>
    <row r="62">
      <c r="C62" s="15" t="s">
        <v>33</v>
      </c>
      <c r="F62" s="16">
        <f>AVERAGE(F58:F61)</f>
        <v>0.2114845938</v>
      </c>
      <c r="G62" s="15" t="s">
        <v>33</v>
      </c>
      <c r="J62" s="16">
        <f>AVERAGE(J58:J61)</f>
        <v>0.05659340659</v>
      </c>
      <c r="K62" s="15" t="s">
        <v>33</v>
      </c>
      <c r="N62" s="16" t="str">
        <f>AVERAGE(N58:N61)</f>
        <v>#DIV/0!</v>
      </c>
      <c r="O62" s="15" t="s">
        <v>33</v>
      </c>
      <c r="R62" s="16" t="str">
        <f>AVERAGE(R58:R61)</f>
        <v>#DIV/0!</v>
      </c>
      <c r="S62" s="15" t="s">
        <v>33</v>
      </c>
      <c r="V62" s="16">
        <f>AVERAGE(V58:V61)</f>
        <v>-0.004117647059</v>
      </c>
    </row>
    <row r="63">
      <c r="A63" s="4" t="s">
        <v>45</v>
      </c>
      <c r="B63" s="8" t="s">
        <v>12</v>
      </c>
      <c r="C63" s="5" t="s">
        <v>13</v>
      </c>
      <c r="D63" s="9">
        <v>8.0</v>
      </c>
      <c r="E63" s="9">
        <v>3.0</v>
      </c>
      <c r="F63" s="9">
        <f t="shared" ref="F63:F66" si="62">DIVIDE(MINUS(D63,E63),SUM(D63:E63))</f>
        <v>0.4545454545</v>
      </c>
      <c r="G63" s="10" t="s">
        <v>14</v>
      </c>
      <c r="H63" s="11">
        <v>8.0</v>
      </c>
      <c r="I63" s="11">
        <v>2.0</v>
      </c>
      <c r="J63" s="13">
        <f t="shared" ref="J63:J66" si="63">DIVIDE(MINUS(H63,I63),SUM(H63:I63))</f>
        <v>0.6</v>
      </c>
      <c r="K63" s="10" t="s">
        <v>15</v>
      </c>
      <c r="L63" s="17"/>
      <c r="M63" s="17"/>
      <c r="N63" s="13" t="str">
        <f t="shared" ref="N63:N66" si="64">DIVIDE(MINUS(L63,M63),SUM(L63:M63))</f>
        <v>#DIV/0!</v>
      </c>
      <c r="O63" s="10" t="s">
        <v>16</v>
      </c>
      <c r="P63" s="17"/>
      <c r="Q63" s="17"/>
      <c r="R63" s="13" t="str">
        <f t="shared" ref="R63:R66" si="65">DIVIDE(MINUS(P63,Q63),SUM(P63:Q63))</f>
        <v>#DIV/0!</v>
      </c>
      <c r="S63" s="10" t="s">
        <v>17</v>
      </c>
      <c r="T63" s="11"/>
      <c r="U63" s="17"/>
      <c r="V63" s="13" t="str">
        <f t="shared" ref="V63:V66" si="66">DIVIDE(MINUS(T63,U63),SUM(T63:U63))</f>
        <v>#DIV/0!</v>
      </c>
    </row>
    <row r="64">
      <c r="C64" s="5" t="s">
        <v>18</v>
      </c>
      <c r="D64" s="9">
        <v>8.0</v>
      </c>
      <c r="E64" s="9">
        <v>5.0</v>
      </c>
      <c r="F64" s="9">
        <f t="shared" si="62"/>
        <v>0.2307692308</v>
      </c>
      <c r="G64" s="10" t="s">
        <v>19</v>
      </c>
      <c r="H64" s="11">
        <v>8.0</v>
      </c>
      <c r="I64" s="11">
        <v>3.0</v>
      </c>
      <c r="J64" s="13">
        <f t="shared" si="63"/>
        <v>0.4545454545</v>
      </c>
      <c r="K64" s="10" t="s">
        <v>20</v>
      </c>
      <c r="L64" s="17"/>
      <c r="M64" s="17"/>
      <c r="N64" s="13" t="str">
        <f t="shared" si="64"/>
        <v>#DIV/0!</v>
      </c>
      <c r="O64" s="10" t="s">
        <v>21</v>
      </c>
      <c r="P64" s="17"/>
      <c r="Q64" s="17"/>
      <c r="R64" s="13" t="str">
        <f t="shared" si="65"/>
        <v>#DIV/0!</v>
      </c>
      <c r="S64" s="10" t="s">
        <v>22</v>
      </c>
      <c r="T64" s="11">
        <v>8.0</v>
      </c>
      <c r="U64" s="11">
        <v>7.0</v>
      </c>
      <c r="V64" s="13">
        <f t="shared" si="66"/>
        <v>0.06666666667</v>
      </c>
    </row>
    <row r="65">
      <c r="C65" s="5" t="s">
        <v>23</v>
      </c>
      <c r="D65" s="9">
        <v>8.0</v>
      </c>
      <c r="E65" s="9">
        <v>6.0</v>
      </c>
      <c r="F65" s="9">
        <f t="shared" si="62"/>
        <v>0.1428571429</v>
      </c>
      <c r="G65" s="10" t="s">
        <v>24</v>
      </c>
      <c r="H65" s="11">
        <v>5.0</v>
      </c>
      <c r="I65" s="11">
        <v>3.0</v>
      </c>
      <c r="J65" s="13">
        <f t="shared" si="63"/>
        <v>0.25</v>
      </c>
      <c r="K65" s="10" t="s">
        <v>25</v>
      </c>
      <c r="L65" s="17"/>
      <c r="M65" s="17"/>
      <c r="N65" s="13" t="str">
        <f t="shared" si="64"/>
        <v>#DIV/0!</v>
      </c>
      <c r="O65" s="10" t="s">
        <v>26</v>
      </c>
      <c r="P65" s="17"/>
      <c r="Q65" s="17"/>
      <c r="R65" s="13" t="str">
        <f t="shared" si="65"/>
        <v>#DIV/0!</v>
      </c>
      <c r="S65" s="10" t="s">
        <v>27</v>
      </c>
      <c r="T65" s="11">
        <v>7.0</v>
      </c>
      <c r="U65" s="11">
        <v>16.0</v>
      </c>
      <c r="V65" s="13">
        <f t="shared" si="66"/>
        <v>-0.3913043478</v>
      </c>
    </row>
    <row r="66">
      <c r="C66" s="5" t="s">
        <v>28</v>
      </c>
      <c r="D66" s="9">
        <v>8.0</v>
      </c>
      <c r="E66" s="9">
        <v>7.0</v>
      </c>
      <c r="F66" s="9">
        <f t="shared" si="62"/>
        <v>0.06666666667</v>
      </c>
      <c r="G66" s="10" t="s">
        <v>29</v>
      </c>
      <c r="H66" s="11">
        <v>8.0</v>
      </c>
      <c r="I66" s="11">
        <v>9.0</v>
      </c>
      <c r="J66" s="13">
        <f t="shared" si="63"/>
        <v>-0.05882352941</v>
      </c>
      <c r="K66" s="10" t="s">
        <v>30</v>
      </c>
      <c r="L66" s="17"/>
      <c r="M66" s="17"/>
      <c r="N66" s="13" t="str">
        <f t="shared" si="64"/>
        <v>#DIV/0!</v>
      </c>
      <c r="O66" s="10" t="s">
        <v>31</v>
      </c>
      <c r="P66" s="17"/>
      <c r="Q66" s="17"/>
      <c r="R66" s="13" t="str">
        <f t="shared" si="65"/>
        <v>#DIV/0!</v>
      </c>
      <c r="S66" s="10" t="s">
        <v>32</v>
      </c>
      <c r="T66" s="11">
        <v>8.0</v>
      </c>
      <c r="U66" s="11">
        <v>5.0</v>
      </c>
      <c r="V66" s="13">
        <f t="shared" si="66"/>
        <v>0.2307692308</v>
      </c>
    </row>
    <row r="67">
      <c r="C67" s="15" t="s">
        <v>33</v>
      </c>
      <c r="F67" s="16">
        <f>AVERAGE(F63:F66)</f>
        <v>0.2237096237</v>
      </c>
      <c r="G67" s="15" t="s">
        <v>33</v>
      </c>
      <c r="J67" s="16">
        <f>AVERAGE(J63:J66)</f>
        <v>0.3114304813</v>
      </c>
      <c r="K67" s="15" t="s">
        <v>33</v>
      </c>
      <c r="N67" s="16" t="str">
        <f>AVERAGE(N63:N66)</f>
        <v>#DIV/0!</v>
      </c>
      <c r="O67" s="15" t="s">
        <v>33</v>
      </c>
      <c r="R67" s="16" t="str">
        <f>AVERAGE(R63:R66)</f>
        <v>#DIV/0!</v>
      </c>
      <c r="S67" s="15" t="s">
        <v>33</v>
      </c>
      <c r="V67" s="16">
        <f>AVERAGE(V64:V66)</f>
        <v>-0.03128948346</v>
      </c>
    </row>
    <row r="68">
      <c r="A68" s="4" t="s">
        <v>46</v>
      </c>
      <c r="B68" s="8" t="s">
        <v>12</v>
      </c>
      <c r="C68" s="5" t="s">
        <v>13</v>
      </c>
      <c r="D68" s="9">
        <v>8.0</v>
      </c>
      <c r="E68" s="9">
        <v>10.0</v>
      </c>
      <c r="F68" s="9">
        <f t="shared" ref="F68:F71" si="67">DIVIDE(MINUS(D68,E68),SUM(D68:E68))</f>
        <v>-0.1111111111</v>
      </c>
      <c r="G68" s="10" t="s">
        <v>14</v>
      </c>
      <c r="H68" s="11">
        <v>7.0</v>
      </c>
      <c r="I68" s="11">
        <v>3.0</v>
      </c>
      <c r="J68" s="13">
        <f t="shared" ref="J68:J71" si="68">DIVIDE(MINUS(H68,I68),SUM(H68:I68))</f>
        <v>0.4</v>
      </c>
      <c r="K68" s="10" t="s">
        <v>15</v>
      </c>
      <c r="L68" s="17"/>
      <c r="M68" s="17"/>
      <c r="N68" s="13" t="str">
        <f t="shared" ref="N68:N71" si="69">DIVIDE(MINUS(L68,M68),SUM(L68:M68))</f>
        <v>#DIV/0!</v>
      </c>
      <c r="O68" s="10" t="s">
        <v>16</v>
      </c>
      <c r="P68" s="17"/>
      <c r="Q68" s="17"/>
      <c r="R68" s="13" t="str">
        <f t="shared" ref="R68:R71" si="70">DIVIDE(MINUS(P68,Q68),SUM(P68:Q68))</f>
        <v>#DIV/0!</v>
      </c>
      <c r="S68" s="10" t="s">
        <v>17</v>
      </c>
      <c r="T68" s="11">
        <v>8.0</v>
      </c>
      <c r="U68" s="11">
        <v>4.0</v>
      </c>
      <c r="V68" s="13">
        <f t="shared" ref="V68:V71" si="71">DIVIDE(MINUS(T68,U68),SUM(T68:U68))</f>
        <v>0.3333333333</v>
      </c>
    </row>
    <row r="69">
      <c r="C69" s="5" t="s">
        <v>18</v>
      </c>
      <c r="D69" s="9">
        <v>8.0</v>
      </c>
      <c r="E69" s="9">
        <v>2.0</v>
      </c>
      <c r="F69" s="9">
        <f t="shared" si="67"/>
        <v>0.6</v>
      </c>
      <c r="G69" s="10" t="s">
        <v>19</v>
      </c>
      <c r="H69" s="11">
        <v>8.0</v>
      </c>
      <c r="I69" s="11">
        <v>7.0</v>
      </c>
      <c r="J69" s="13">
        <f t="shared" si="68"/>
        <v>0.06666666667</v>
      </c>
      <c r="K69" s="10" t="s">
        <v>20</v>
      </c>
      <c r="L69" s="17"/>
      <c r="M69" s="17"/>
      <c r="N69" s="13" t="str">
        <f t="shared" si="69"/>
        <v>#DIV/0!</v>
      </c>
      <c r="O69" s="10" t="s">
        <v>21</v>
      </c>
      <c r="P69" s="17"/>
      <c r="Q69" s="17"/>
      <c r="R69" s="13" t="str">
        <f t="shared" si="70"/>
        <v>#DIV/0!</v>
      </c>
      <c r="S69" s="10" t="s">
        <v>22</v>
      </c>
      <c r="T69" s="11">
        <v>8.0</v>
      </c>
      <c r="U69" s="11">
        <v>4.0</v>
      </c>
      <c r="V69" s="13">
        <f t="shared" si="71"/>
        <v>0.3333333333</v>
      </c>
    </row>
    <row r="70">
      <c r="C70" s="5" t="s">
        <v>23</v>
      </c>
      <c r="D70" s="9">
        <v>8.0</v>
      </c>
      <c r="E70" s="9">
        <v>6.0</v>
      </c>
      <c r="F70" s="9">
        <f t="shared" si="67"/>
        <v>0.1428571429</v>
      </c>
      <c r="G70" s="10" t="s">
        <v>24</v>
      </c>
      <c r="H70" s="11">
        <v>5.0</v>
      </c>
      <c r="I70" s="11">
        <v>3.0</v>
      </c>
      <c r="J70" s="13">
        <f t="shared" si="68"/>
        <v>0.25</v>
      </c>
      <c r="K70" s="10" t="s">
        <v>25</v>
      </c>
      <c r="L70" s="17"/>
      <c r="M70" s="17"/>
      <c r="N70" s="13" t="str">
        <f t="shared" si="69"/>
        <v>#DIV/0!</v>
      </c>
      <c r="O70" s="10" t="s">
        <v>26</v>
      </c>
      <c r="P70" s="17"/>
      <c r="Q70" s="17"/>
      <c r="R70" s="13" t="str">
        <f t="shared" si="70"/>
        <v>#DIV/0!</v>
      </c>
      <c r="S70" s="10" t="s">
        <v>27</v>
      </c>
      <c r="T70" s="11">
        <v>8.0</v>
      </c>
      <c r="U70" s="11">
        <v>10.0</v>
      </c>
      <c r="V70" s="13">
        <f t="shared" si="71"/>
        <v>-0.1111111111</v>
      </c>
    </row>
    <row r="71">
      <c r="C71" s="5" t="s">
        <v>28</v>
      </c>
      <c r="D71" s="9">
        <v>8.0</v>
      </c>
      <c r="E71" s="9">
        <v>4.0</v>
      </c>
      <c r="F71" s="9">
        <f t="shared" si="67"/>
        <v>0.3333333333</v>
      </c>
      <c r="G71" s="10" t="s">
        <v>29</v>
      </c>
      <c r="H71" s="11">
        <v>8.0</v>
      </c>
      <c r="I71" s="11">
        <v>7.0</v>
      </c>
      <c r="J71" s="13">
        <f t="shared" si="68"/>
        <v>0.06666666667</v>
      </c>
      <c r="K71" s="10" t="s">
        <v>30</v>
      </c>
      <c r="L71" s="17"/>
      <c r="M71" s="17"/>
      <c r="N71" s="13" t="str">
        <f t="shared" si="69"/>
        <v>#DIV/0!</v>
      </c>
      <c r="O71" s="10" t="s">
        <v>31</v>
      </c>
      <c r="P71" s="17"/>
      <c r="Q71" s="17"/>
      <c r="R71" s="13" t="str">
        <f t="shared" si="70"/>
        <v>#DIV/0!</v>
      </c>
      <c r="S71" s="10" t="s">
        <v>32</v>
      </c>
      <c r="T71" s="11">
        <v>6.0</v>
      </c>
      <c r="U71" s="11">
        <v>7.0</v>
      </c>
      <c r="V71" s="13">
        <f t="shared" si="71"/>
        <v>-0.07692307692</v>
      </c>
    </row>
    <row r="72">
      <c r="C72" s="15" t="s">
        <v>33</v>
      </c>
      <c r="F72" s="16">
        <f>AVERAGE(F68:F71)</f>
        <v>0.2412698413</v>
      </c>
      <c r="G72" s="15" t="s">
        <v>33</v>
      </c>
      <c r="J72" s="16">
        <f>AVERAGE(J68:J71)</f>
        <v>0.1958333333</v>
      </c>
      <c r="K72" s="15" t="s">
        <v>33</v>
      </c>
      <c r="N72" s="16" t="str">
        <f>AVERAGE(N68:N71)</f>
        <v>#DIV/0!</v>
      </c>
      <c r="O72" s="15" t="s">
        <v>33</v>
      </c>
      <c r="R72" s="16" t="str">
        <f>AVERAGE(R68:R71)</f>
        <v>#DIV/0!</v>
      </c>
      <c r="S72" s="15" t="s">
        <v>33</v>
      </c>
      <c r="V72" s="16">
        <f>AVERAGE(V68:V71)</f>
        <v>0.1196581197</v>
      </c>
    </row>
    <row r="73">
      <c r="A73" s="5"/>
      <c r="B73" s="8"/>
      <c r="C73" s="20"/>
      <c r="D73" s="20"/>
      <c r="E73" s="20"/>
      <c r="F73" s="21"/>
      <c r="G73" s="20"/>
      <c r="H73" s="20"/>
      <c r="I73" s="20"/>
      <c r="J73" s="21"/>
      <c r="K73" s="20"/>
      <c r="L73" s="20"/>
      <c r="M73" s="20"/>
      <c r="N73" s="21"/>
      <c r="O73" s="20"/>
      <c r="P73" s="20"/>
      <c r="Q73" s="20"/>
      <c r="R73" s="21"/>
      <c r="S73" s="20"/>
      <c r="T73" s="20"/>
      <c r="U73" s="20"/>
      <c r="V73" s="21"/>
    </row>
    <row r="74">
      <c r="A74" s="5"/>
      <c r="B74" s="8"/>
      <c r="C74" s="20"/>
      <c r="D74" s="20"/>
      <c r="E74" s="20"/>
      <c r="F74" s="21"/>
      <c r="G74" s="20"/>
      <c r="H74" s="20"/>
      <c r="I74" s="20"/>
      <c r="J74" s="21"/>
      <c r="K74" s="20"/>
      <c r="L74" s="20"/>
      <c r="M74" s="20"/>
      <c r="N74" s="21"/>
      <c r="O74" s="20"/>
      <c r="P74" s="20"/>
      <c r="Q74" s="20"/>
      <c r="R74" s="21"/>
      <c r="S74" s="20"/>
      <c r="T74" s="20"/>
      <c r="U74" s="20"/>
      <c r="V74" s="21"/>
    </row>
    <row r="75">
      <c r="A75" s="5"/>
      <c r="B75" s="8"/>
      <c r="C75" s="20"/>
      <c r="D75" s="20"/>
      <c r="E75" s="20"/>
      <c r="F75" s="21"/>
      <c r="G75" s="20"/>
      <c r="H75" s="20"/>
      <c r="I75" s="20"/>
      <c r="J75" s="21"/>
      <c r="K75" s="20"/>
      <c r="L75" s="20"/>
      <c r="M75" s="20"/>
      <c r="N75" s="21"/>
      <c r="O75" s="20"/>
      <c r="P75" s="20"/>
      <c r="Q75" s="20"/>
      <c r="R75" s="21"/>
      <c r="S75" s="20"/>
      <c r="T75" s="20"/>
      <c r="U75" s="20"/>
      <c r="V75" s="21"/>
    </row>
    <row r="76">
      <c r="A76" s="5"/>
      <c r="B76" s="8"/>
      <c r="C76" s="20"/>
      <c r="D76" s="20"/>
      <c r="E76" s="20"/>
      <c r="F76" s="21"/>
      <c r="G76" s="20"/>
      <c r="H76" s="20"/>
      <c r="I76" s="20"/>
      <c r="J76" s="21"/>
      <c r="K76" s="20"/>
      <c r="L76" s="20"/>
      <c r="M76" s="20"/>
      <c r="N76" s="21"/>
      <c r="O76" s="20"/>
      <c r="P76" s="20"/>
      <c r="Q76" s="20"/>
      <c r="R76" s="21"/>
      <c r="S76" s="20"/>
      <c r="T76" s="20"/>
      <c r="U76" s="20"/>
      <c r="V76" s="21"/>
    </row>
    <row r="77">
      <c r="A77" s="5"/>
      <c r="B77" s="8"/>
      <c r="C77" s="20"/>
      <c r="D77" s="20"/>
      <c r="E77" s="20"/>
      <c r="F77" s="21"/>
      <c r="G77" s="20"/>
      <c r="H77" s="20"/>
      <c r="I77" s="20"/>
      <c r="J77" s="21"/>
      <c r="K77" s="20"/>
      <c r="L77" s="20"/>
      <c r="M77" s="20"/>
      <c r="N77" s="21"/>
      <c r="O77" s="20"/>
      <c r="P77" s="20"/>
      <c r="Q77" s="20"/>
      <c r="R77" s="21"/>
      <c r="S77" s="20"/>
      <c r="T77" s="20"/>
      <c r="U77" s="20"/>
      <c r="V77" s="21"/>
    </row>
    <row r="78">
      <c r="A78" s="5"/>
      <c r="B78" s="8"/>
      <c r="C78" s="20"/>
      <c r="D78" s="20"/>
      <c r="E78" s="20"/>
      <c r="F78" s="21"/>
      <c r="G78" s="20"/>
      <c r="H78" s="20"/>
      <c r="I78" s="20"/>
      <c r="J78" s="21"/>
      <c r="K78" s="20"/>
      <c r="L78" s="20"/>
      <c r="M78" s="20"/>
      <c r="N78" s="21"/>
      <c r="O78" s="20"/>
      <c r="P78" s="20"/>
      <c r="Q78" s="20"/>
      <c r="R78" s="21"/>
      <c r="S78" s="20"/>
      <c r="T78" s="20"/>
      <c r="U78" s="20"/>
      <c r="V78" s="21"/>
    </row>
    <row r="79">
      <c r="A79" s="5"/>
      <c r="B79" s="8"/>
      <c r="C79" s="20"/>
      <c r="D79" s="20"/>
      <c r="E79" s="20"/>
      <c r="F79" s="21"/>
      <c r="G79" s="20"/>
      <c r="H79" s="20"/>
      <c r="I79" s="20"/>
      <c r="J79" s="21"/>
      <c r="K79" s="20"/>
      <c r="L79" s="20"/>
      <c r="M79" s="20"/>
      <c r="N79" s="21"/>
      <c r="O79" s="20"/>
      <c r="P79" s="20"/>
      <c r="Q79" s="20"/>
      <c r="R79" s="21"/>
      <c r="S79" s="20"/>
      <c r="T79" s="20"/>
      <c r="U79" s="20"/>
      <c r="V79" s="21"/>
    </row>
    <row r="80">
      <c r="A80" s="5"/>
      <c r="B80" s="8"/>
      <c r="C80" s="20"/>
      <c r="D80" s="20"/>
      <c r="E80" s="20"/>
      <c r="F80" s="21"/>
      <c r="G80" s="20"/>
      <c r="H80" s="20"/>
      <c r="I80" s="20"/>
      <c r="J80" s="21"/>
      <c r="K80" s="20"/>
      <c r="L80" s="20"/>
      <c r="M80" s="20"/>
      <c r="N80" s="21"/>
      <c r="O80" s="20"/>
      <c r="P80" s="20"/>
      <c r="Q80" s="20"/>
      <c r="R80" s="21"/>
      <c r="S80" s="20"/>
      <c r="T80" s="20"/>
      <c r="U80" s="20"/>
      <c r="V80" s="21"/>
    </row>
    <row r="81">
      <c r="A81" s="5"/>
      <c r="B81" s="8"/>
      <c r="C81" s="20"/>
      <c r="D81" s="20"/>
      <c r="E81" s="20"/>
      <c r="F81" s="21"/>
      <c r="G81" s="20"/>
      <c r="H81" s="20"/>
      <c r="I81" s="20"/>
      <c r="J81" s="21"/>
      <c r="K81" s="20"/>
      <c r="L81" s="20"/>
      <c r="M81" s="20"/>
      <c r="N81" s="21"/>
      <c r="O81" s="20"/>
      <c r="P81" s="20"/>
      <c r="Q81" s="20"/>
      <c r="R81" s="21"/>
      <c r="S81" s="20"/>
      <c r="T81" s="20"/>
      <c r="U81" s="20"/>
      <c r="V81" s="21"/>
    </row>
    <row r="82">
      <c r="A82" s="5"/>
      <c r="B82" s="8"/>
      <c r="C82" s="20"/>
      <c r="D82" s="20"/>
      <c r="E82" s="20"/>
      <c r="F82" s="21"/>
      <c r="G82" s="20"/>
      <c r="H82" s="20"/>
      <c r="I82" s="20"/>
      <c r="J82" s="21"/>
      <c r="K82" s="20"/>
      <c r="L82" s="20"/>
      <c r="M82" s="20"/>
      <c r="N82" s="21"/>
      <c r="O82" s="20"/>
      <c r="P82" s="20"/>
      <c r="Q82" s="20"/>
      <c r="R82" s="21"/>
      <c r="S82" s="20"/>
      <c r="T82" s="20"/>
      <c r="U82" s="20"/>
      <c r="V82" s="21"/>
    </row>
  </sheetData>
  <mergeCells count="105">
    <mergeCell ref="A28:A32"/>
    <mergeCell ref="B28:B32"/>
    <mergeCell ref="C32:E32"/>
    <mergeCell ref="G32:I32"/>
    <mergeCell ref="K32:M32"/>
    <mergeCell ref="O32:Q32"/>
    <mergeCell ref="S32:U32"/>
    <mergeCell ref="A33:A37"/>
    <mergeCell ref="B33:B37"/>
    <mergeCell ref="C37:E37"/>
    <mergeCell ref="G37:I37"/>
    <mergeCell ref="K37:M37"/>
    <mergeCell ref="O37:Q37"/>
    <mergeCell ref="S37:U37"/>
    <mergeCell ref="A38:A42"/>
    <mergeCell ref="B38:B42"/>
    <mergeCell ref="C42:E42"/>
    <mergeCell ref="G42:I42"/>
    <mergeCell ref="K42:M42"/>
    <mergeCell ref="O42:Q42"/>
    <mergeCell ref="S42:U42"/>
    <mergeCell ref="A43:A47"/>
    <mergeCell ref="B43:B47"/>
    <mergeCell ref="C47:E47"/>
    <mergeCell ref="G47:I47"/>
    <mergeCell ref="K47:M47"/>
    <mergeCell ref="O47:Q47"/>
    <mergeCell ref="S47:U47"/>
    <mergeCell ref="A48:A52"/>
    <mergeCell ref="B48:B52"/>
    <mergeCell ref="C52:E52"/>
    <mergeCell ref="G52:I52"/>
    <mergeCell ref="K52:M52"/>
    <mergeCell ref="O52:Q52"/>
    <mergeCell ref="S52:U52"/>
    <mergeCell ref="A53:A57"/>
    <mergeCell ref="B53:B57"/>
    <mergeCell ref="C57:E57"/>
    <mergeCell ref="G57:I57"/>
    <mergeCell ref="K57:M57"/>
    <mergeCell ref="O57:Q57"/>
    <mergeCell ref="S57:U57"/>
    <mergeCell ref="A58:A62"/>
    <mergeCell ref="B58:B62"/>
    <mergeCell ref="C62:E62"/>
    <mergeCell ref="G62:I62"/>
    <mergeCell ref="K62:M62"/>
    <mergeCell ref="O62:Q62"/>
    <mergeCell ref="S62:U62"/>
    <mergeCell ref="A63:A67"/>
    <mergeCell ref="B63:B67"/>
    <mergeCell ref="C67:E67"/>
    <mergeCell ref="G67:I67"/>
    <mergeCell ref="K67:M67"/>
    <mergeCell ref="O67:Q67"/>
    <mergeCell ref="S67:U67"/>
    <mergeCell ref="A1:A2"/>
    <mergeCell ref="B1:B2"/>
    <mergeCell ref="C1:F1"/>
    <mergeCell ref="G1:J1"/>
    <mergeCell ref="K1:N1"/>
    <mergeCell ref="O1:R1"/>
    <mergeCell ref="S1:V1"/>
    <mergeCell ref="A3:A7"/>
    <mergeCell ref="B3:B7"/>
    <mergeCell ref="C7:E7"/>
    <mergeCell ref="G7:I7"/>
    <mergeCell ref="K7:M7"/>
    <mergeCell ref="O7:Q7"/>
    <mergeCell ref="S7:U7"/>
    <mergeCell ref="A8:A12"/>
    <mergeCell ref="B8:B12"/>
    <mergeCell ref="C12:E12"/>
    <mergeCell ref="G12:I12"/>
    <mergeCell ref="K12:M12"/>
    <mergeCell ref="O12:Q12"/>
    <mergeCell ref="S12:U12"/>
    <mergeCell ref="A13:A17"/>
    <mergeCell ref="B13:B17"/>
    <mergeCell ref="C17:E17"/>
    <mergeCell ref="G17:I17"/>
    <mergeCell ref="K17:M17"/>
    <mergeCell ref="O17:Q17"/>
    <mergeCell ref="S17:U17"/>
    <mergeCell ref="A18:A22"/>
    <mergeCell ref="B18:B22"/>
    <mergeCell ref="C22:E22"/>
    <mergeCell ref="G22:I22"/>
    <mergeCell ref="K22:M22"/>
    <mergeCell ref="O22:Q22"/>
    <mergeCell ref="S22:U22"/>
    <mergeCell ref="A23:A27"/>
    <mergeCell ref="B23:B27"/>
    <mergeCell ref="C27:E27"/>
    <mergeCell ref="G27:I27"/>
    <mergeCell ref="K27:M27"/>
    <mergeCell ref="O27:Q27"/>
    <mergeCell ref="S27:U27"/>
    <mergeCell ref="A68:A72"/>
    <mergeCell ref="B68:B72"/>
    <mergeCell ref="C72:E72"/>
    <mergeCell ref="G72:I72"/>
    <mergeCell ref="K72:M72"/>
    <mergeCell ref="O72:Q72"/>
    <mergeCell ref="S72:U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31.75"/>
    <col customWidth="1" min="3" max="5" width="10.63"/>
    <col customWidth="1" min="6" max="22" width="9.5"/>
  </cols>
  <sheetData>
    <row r="1" ht="43.5" customHeight="1">
      <c r="A1" s="1" t="s">
        <v>0</v>
      </c>
      <c r="B1" s="1" t="s">
        <v>1</v>
      </c>
      <c r="C1" s="2" t="s">
        <v>2</v>
      </c>
      <c r="G1" s="2" t="s">
        <v>3</v>
      </c>
      <c r="K1" s="2" t="s">
        <v>4</v>
      </c>
      <c r="O1" s="3" t="s">
        <v>5</v>
      </c>
      <c r="S1" s="4" t="s">
        <v>6</v>
      </c>
    </row>
    <row r="2" ht="29.25" customHeight="1">
      <c r="C2" s="5" t="s">
        <v>7</v>
      </c>
      <c r="D2" s="5" t="s">
        <v>8</v>
      </c>
      <c r="E2" s="5" t="s">
        <v>9</v>
      </c>
      <c r="F2" s="5" t="s">
        <v>10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7</v>
      </c>
      <c r="T2" s="6" t="s">
        <v>8</v>
      </c>
      <c r="U2" s="6" t="s">
        <v>9</v>
      </c>
      <c r="V2" s="6" t="s">
        <v>10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5" t="s">
        <v>11</v>
      </c>
      <c r="B3" s="8" t="s">
        <v>47</v>
      </c>
      <c r="C3" s="5" t="s">
        <v>13</v>
      </c>
      <c r="D3" s="9">
        <v>8.0</v>
      </c>
      <c r="E3" s="9">
        <v>10.0</v>
      </c>
      <c r="F3" s="9">
        <f t="shared" ref="F3:F6" si="1">DIVIDE(MINUS(D3,E3),SUM(D3:E3))</f>
        <v>-0.1111111111</v>
      </c>
      <c r="G3" s="10" t="s">
        <v>14</v>
      </c>
      <c r="H3" s="11">
        <v>0.0</v>
      </c>
      <c r="I3" s="11">
        <v>0.0</v>
      </c>
      <c r="J3" s="12">
        <v>0.0</v>
      </c>
      <c r="K3" s="10" t="s">
        <v>15</v>
      </c>
      <c r="L3" s="11">
        <v>8.0</v>
      </c>
      <c r="M3" s="11">
        <v>5.0</v>
      </c>
      <c r="N3" s="13">
        <f t="shared" ref="N3:N6" si="2">DIVIDE(MINUS(L3,M3),SUM(L3:M3))</f>
        <v>0.2307692308</v>
      </c>
      <c r="O3" s="10" t="s">
        <v>16</v>
      </c>
      <c r="P3" s="11">
        <v>7.0</v>
      </c>
      <c r="Q3" s="11">
        <v>8.0</v>
      </c>
      <c r="R3" s="13">
        <f t="shared" ref="R3:R6" si="3">DIVIDE(MINUS(P3,Q3),SUM(P3:Q3))</f>
        <v>-0.06666666667</v>
      </c>
      <c r="S3" s="10" t="s">
        <v>17</v>
      </c>
      <c r="T3" s="11">
        <v>7.0</v>
      </c>
      <c r="U3" s="11">
        <v>10.0</v>
      </c>
      <c r="V3" s="13">
        <f t="shared" ref="V3:V6" si="4">DIVIDE(MINUS(T3,U3),SUM(T3:U3))</f>
        <v>-0.1764705882</v>
      </c>
      <c r="X3" s="14">
        <f>AVERAGE(L3:L4)</f>
        <v>7.5</v>
      </c>
      <c r="AB3" s="14">
        <f>AVERAGE(P3:P4)</f>
        <v>7.5</v>
      </c>
    </row>
    <row r="4">
      <c r="C4" s="5" t="s">
        <v>18</v>
      </c>
      <c r="D4" s="9">
        <v>8.0</v>
      </c>
      <c r="E4" s="9">
        <v>2.0</v>
      </c>
      <c r="F4" s="9">
        <f t="shared" si="1"/>
        <v>0.6</v>
      </c>
      <c r="G4" s="10" t="s">
        <v>19</v>
      </c>
      <c r="H4" s="11">
        <v>8.0</v>
      </c>
      <c r="I4" s="11">
        <v>3.0</v>
      </c>
      <c r="J4" s="13">
        <f t="shared" ref="J4:J6" si="5">DIVIDE(MINUS(H4,I4),SUM(H4:I4))</f>
        <v>0.4545454545</v>
      </c>
      <c r="K4" s="10" t="s">
        <v>20</v>
      </c>
      <c r="L4" s="11">
        <v>7.0</v>
      </c>
      <c r="M4" s="11">
        <v>5.0</v>
      </c>
      <c r="N4" s="13">
        <f t="shared" si="2"/>
        <v>0.1666666667</v>
      </c>
      <c r="O4" s="10" t="s">
        <v>21</v>
      </c>
      <c r="P4" s="11">
        <v>8.0</v>
      </c>
      <c r="Q4" s="11">
        <v>4.0</v>
      </c>
      <c r="R4" s="13">
        <f t="shared" si="3"/>
        <v>0.3333333333</v>
      </c>
      <c r="S4" s="10" t="s">
        <v>22</v>
      </c>
      <c r="T4" s="11">
        <v>8.0</v>
      </c>
      <c r="U4" s="11">
        <v>2.0</v>
      </c>
      <c r="V4" s="13">
        <f t="shared" si="4"/>
        <v>0.6</v>
      </c>
    </row>
    <row r="5">
      <c r="C5" s="5" t="s">
        <v>23</v>
      </c>
      <c r="D5" s="9">
        <v>5.0</v>
      </c>
      <c r="E5" s="9">
        <v>3.0</v>
      </c>
      <c r="F5" s="9">
        <f t="shared" si="1"/>
        <v>0.25</v>
      </c>
      <c r="G5" s="10" t="s">
        <v>24</v>
      </c>
      <c r="H5" s="11">
        <v>8.0</v>
      </c>
      <c r="I5" s="11">
        <v>5.0</v>
      </c>
      <c r="J5" s="13">
        <f t="shared" si="5"/>
        <v>0.2307692308</v>
      </c>
      <c r="K5" s="10" t="s">
        <v>25</v>
      </c>
      <c r="L5" s="11">
        <v>8.0</v>
      </c>
      <c r="M5" s="11">
        <v>5.0</v>
      </c>
      <c r="N5" s="13">
        <f t="shared" si="2"/>
        <v>0.2307692308</v>
      </c>
      <c r="O5" s="10" t="s">
        <v>26</v>
      </c>
      <c r="P5" s="11">
        <v>8.0</v>
      </c>
      <c r="Q5" s="11">
        <v>5.0</v>
      </c>
      <c r="R5" s="13">
        <f t="shared" si="3"/>
        <v>0.2307692308</v>
      </c>
      <c r="S5" s="10" t="s">
        <v>27</v>
      </c>
      <c r="T5" s="11">
        <v>8.0</v>
      </c>
      <c r="U5" s="11">
        <v>5.0</v>
      </c>
      <c r="V5" s="13">
        <f t="shared" si="4"/>
        <v>0.2307692308</v>
      </c>
      <c r="X5" s="14">
        <f>AVERAGE(L5:L6)</f>
        <v>7</v>
      </c>
      <c r="AB5" s="14">
        <f>AVERAGE(P5:P6)</f>
        <v>7.5</v>
      </c>
    </row>
    <row r="6">
      <c r="C6" s="5" t="s">
        <v>28</v>
      </c>
      <c r="D6" s="9">
        <v>8.0</v>
      </c>
      <c r="E6" s="9">
        <v>3.0</v>
      </c>
      <c r="F6" s="9">
        <f t="shared" si="1"/>
        <v>0.4545454545</v>
      </c>
      <c r="G6" s="10" t="s">
        <v>29</v>
      </c>
      <c r="H6" s="11">
        <v>5.0</v>
      </c>
      <c r="I6" s="11">
        <v>3.0</v>
      </c>
      <c r="J6" s="13">
        <f t="shared" si="5"/>
        <v>0.25</v>
      </c>
      <c r="K6" s="10" t="s">
        <v>30</v>
      </c>
      <c r="L6" s="11">
        <v>6.0</v>
      </c>
      <c r="M6" s="11">
        <v>4.0</v>
      </c>
      <c r="N6" s="13">
        <f t="shared" si="2"/>
        <v>0.2</v>
      </c>
      <c r="O6" s="10" t="s">
        <v>31</v>
      </c>
      <c r="P6" s="11">
        <v>7.0</v>
      </c>
      <c r="Q6" s="11">
        <v>5.0</v>
      </c>
      <c r="R6" s="13">
        <f t="shared" si="3"/>
        <v>0.1666666667</v>
      </c>
      <c r="S6" s="10" t="s">
        <v>32</v>
      </c>
      <c r="T6" s="11">
        <v>8.0</v>
      </c>
      <c r="U6" s="11">
        <v>3.0</v>
      </c>
      <c r="V6" s="13">
        <f t="shared" si="4"/>
        <v>0.4545454545</v>
      </c>
    </row>
    <row r="7">
      <c r="C7" s="15" t="s">
        <v>33</v>
      </c>
      <c r="F7" s="16">
        <f>AVERAGE(D3:D6)</f>
        <v>7.25</v>
      </c>
      <c r="G7" s="15" t="s">
        <v>33</v>
      </c>
      <c r="J7" s="16">
        <f>AVERAGE(H3:H6)</f>
        <v>5.25</v>
      </c>
      <c r="K7" s="15" t="s">
        <v>33</v>
      </c>
      <c r="N7" s="16">
        <f>AVERAGE(L3:L6)</f>
        <v>7.25</v>
      </c>
      <c r="O7" s="15" t="s">
        <v>33</v>
      </c>
      <c r="R7" s="16">
        <f>AVERAGE(P3:P6)</f>
        <v>7.5</v>
      </c>
      <c r="S7" s="15" t="s">
        <v>33</v>
      </c>
      <c r="V7" s="16">
        <f>AVERAGE(T3:T6)</f>
        <v>7.75</v>
      </c>
    </row>
    <row r="8">
      <c r="A8" s="5" t="s">
        <v>34</v>
      </c>
      <c r="B8" s="8" t="s">
        <v>12</v>
      </c>
      <c r="C8" s="5" t="s">
        <v>13</v>
      </c>
      <c r="D8" s="9">
        <v>6.0</v>
      </c>
      <c r="E8" s="9">
        <v>7.0</v>
      </c>
      <c r="F8" s="9">
        <f t="shared" ref="F8:F11" si="6">DIVIDE(MINUS(D8,E8),SUM(D8:E8))</f>
        <v>-0.07692307692</v>
      </c>
      <c r="G8" s="10" t="s">
        <v>14</v>
      </c>
      <c r="H8" s="11">
        <v>8.0</v>
      </c>
      <c r="I8" s="11">
        <v>5.0</v>
      </c>
      <c r="J8" s="13">
        <f t="shared" ref="J8:J11" si="7">DIVIDE(MINUS(H8,I8),SUM(H8:I8))</f>
        <v>0.2307692308</v>
      </c>
      <c r="K8" s="10" t="s">
        <v>15</v>
      </c>
      <c r="L8" s="11">
        <v>6.0</v>
      </c>
      <c r="M8" s="11">
        <v>5.0</v>
      </c>
      <c r="N8" s="13">
        <f t="shared" ref="N8:N11" si="8">DIVIDE(MINUS(L8,M8),SUM(L8:M8))</f>
        <v>0.09090909091</v>
      </c>
      <c r="O8" s="10" t="s">
        <v>16</v>
      </c>
      <c r="P8" s="11">
        <v>6.0</v>
      </c>
      <c r="Q8" s="11">
        <v>6.0</v>
      </c>
      <c r="R8" s="13">
        <f t="shared" ref="R8:R11" si="9">DIVIDE(MINUS(P8,Q8),SUM(P8:Q8))</f>
        <v>0</v>
      </c>
      <c r="S8" s="10" t="s">
        <v>17</v>
      </c>
      <c r="T8" s="11">
        <v>6.0</v>
      </c>
      <c r="U8" s="11">
        <v>10.0</v>
      </c>
      <c r="V8" s="13">
        <f t="shared" ref="V8:V11" si="10">DIVIDE(MINUS(T8,U8),SUM(T8:U8))</f>
        <v>-0.25</v>
      </c>
      <c r="X8" s="14">
        <f>AVERAGE(L8:L9)</f>
        <v>7</v>
      </c>
      <c r="AB8" s="14">
        <f>AVERAGE(P8:P9)</f>
        <v>6</v>
      </c>
    </row>
    <row r="9">
      <c r="C9" s="5" t="s">
        <v>18</v>
      </c>
      <c r="D9" s="9">
        <v>8.0</v>
      </c>
      <c r="E9" s="9">
        <v>7.0</v>
      </c>
      <c r="F9" s="9">
        <f t="shared" si="6"/>
        <v>0.06666666667</v>
      </c>
      <c r="G9" s="10" t="s">
        <v>19</v>
      </c>
      <c r="H9" s="11">
        <v>8.0</v>
      </c>
      <c r="I9" s="11">
        <v>8.0</v>
      </c>
      <c r="J9" s="13">
        <f t="shared" si="7"/>
        <v>0</v>
      </c>
      <c r="K9" s="10" t="s">
        <v>20</v>
      </c>
      <c r="L9" s="11">
        <v>8.0</v>
      </c>
      <c r="M9" s="11">
        <v>0.0</v>
      </c>
      <c r="N9" s="13">
        <f t="shared" si="8"/>
        <v>1</v>
      </c>
      <c r="O9" s="10" t="s">
        <v>21</v>
      </c>
      <c r="P9" s="11">
        <v>6.0</v>
      </c>
      <c r="Q9" s="11">
        <v>5.0</v>
      </c>
      <c r="R9" s="13">
        <f t="shared" si="9"/>
        <v>0.09090909091</v>
      </c>
      <c r="S9" s="10" t="s">
        <v>22</v>
      </c>
      <c r="T9" s="11">
        <v>6.0</v>
      </c>
      <c r="U9" s="11">
        <v>12.0</v>
      </c>
      <c r="V9" s="13">
        <f t="shared" si="10"/>
        <v>-0.3333333333</v>
      </c>
    </row>
    <row r="10">
      <c r="C10" s="5" t="s">
        <v>23</v>
      </c>
      <c r="D10" s="9">
        <v>6.0</v>
      </c>
      <c r="E10" s="9">
        <v>12.0</v>
      </c>
      <c r="F10" s="9">
        <f t="shared" si="6"/>
        <v>-0.3333333333</v>
      </c>
      <c r="G10" s="10" t="s">
        <v>24</v>
      </c>
      <c r="H10" s="11">
        <v>5.0</v>
      </c>
      <c r="I10" s="11">
        <v>5.0</v>
      </c>
      <c r="J10" s="13">
        <f t="shared" si="7"/>
        <v>0</v>
      </c>
      <c r="K10" s="10" t="s">
        <v>25</v>
      </c>
      <c r="L10" s="11">
        <v>7.0</v>
      </c>
      <c r="M10" s="11">
        <v>1.0</v>
      </c>
      <c r="N10" s="13">
        <f t="shared" si="8"/>
        <v>0.75</v>
      </c>
      <c r="O10" s="10" t="s">
        <v>26</v>
      </c>
      <c r="P10" s="11">
        <v>8.0</v>
      </c>
      <c r="Q10" s="11">
        <v>1.0</v>
      </c>
      <c r="R10" s="13">
        <f t="shared" si="9"/>
        <v>0.7777777778</v>
      </c>
      <c r="S10" s="10" t="s">
        <v>27</v>
      </c>
      <c r="T10" s="11">
        <v>8.0</v>
      </c>
      <c r="U10" s="11">
        <v>8.0</v>
      </c>
      <c r="V10" s="13">
        <f t="shared" si="10"/>
        <v>0</v>
      </c>
      <c r="X10" s="14">
        <f>AVERAGE(L10:L11)</f>
        <v>7</v>
      </c>
      <c r="AB10" s="14">
        <f>AVERAGE(P10:P11)</f>
        <v>7</v>
      </c>
    </row>
    <row r="11">
      <c r="C11" s="5" t="s">
        <v>28</v>
      </c>
      <c r="D11" s="9">
        <v>8.0</v>
      </c>
      <c r="E11" s="9">
        <v>9.0</v>
      </c>
      <c r="F11" s="9">
        <f t="shared" si="6"/>
        <v>-0.05882352941</v>
      </c>
      <c r="G11" s="10" t="s">
        <v>29</v>
      </c>
      <c r="H11" s="11">
        <v>1.0</v>
      </c>
      <c r="I11" s="11">
        <v>0.0</v>
      </c>
      <c r="J11" s="13">
        <f t="shared" si="7"/>
        <v>1</v>
      </c>
      <c r="K11" s="10" t="s">
        <v>30</v>
      </c>
      <c r="L11" s="11">
        <v>7.0</v>
      </c>
      <c r="M11" s="11">
        <v>9.0</v>
      </c>
      <c r="N11" s="13">
        <f t="shared" si="8"/>
        <v>-0.125</v>
      </c>
      <c r="O11" s="10" t="s">
        <v>31</v>
      </c>
      <c r="P11" s="11">
        <v>6.0</v>
      </c>
      <c r="Q11" s="11">
        <v>11.0</v>
      </c>
      <c r="R11" s="13">
        <f t="shared" si="9"/>
        <v>-0.2941176471</v>
      </c>
      <c r="S11" s="10" t="s">
        <v>32</v>
      </c>
      <c r="T11" s="11">
        <v>7.0</v>
      </c>
      <c r="U11" s="11">
        <v>5.0</v>
      </c>
      <c r="V11" s="13">
        <f t="shared" si="10"/>
        <v>0.1666666667</v>
      </c>
    </row>
    <row r="12">
      <c r="C12" s="15" t="s">
        <v>33</v>
      </c>
      <c r="F12" s="16">
        <f>AVERAGE(D8:D11)</f>
        <v>7</v>
      </c>
      <c r="G12" s="15" t="s">
        <v>33</v>
      </c>
      <c r="J12" s="16">
        <f>AVERAGE(H8:H11)</f>
        <v>5.5</v>
      </c>
      <c r="K12" s="15" t="s">
        <v>33</v>
      </c>
      <c r="N12" s="16">
        <f>AVERAGE(L8:L11)</f>
        <v>7</v>
      </c>
      <c r="O12" s="15" t="s">
        <v>33</v>
      </c>
      <c r="R12" s="16">
        <f>AVERAGE(P8:P11)</f>
        <v>6.5</v>
      </c>
      <c r="S12" s="15" t="s">
        <v>33</v>
      </c>
      <c r="V12" s="16">
        <f>AVERAGE(T8:T11)</f>
        <v>6.75</v>
      </c>
    </row>
    <row r="13">
      <c r="A13" s="5" t="s">
        <v>35</v>
      </c>
      <c r="B13" s="8" t="s">
        <v>12</v>
      </c>
      <c r="C13" s="5" t="s">
        <v>13</v>
      </c>
      <c r="D13" s="9">
        <v>7.0</v>
      </c>
      <c r="E13" s="9">
        <v>11.0</v>
      </c>
      <c r="F13" s="9">
        <f t="shared" ref="F13:F16" si="11">DIVIDE(MINUS(D13,E13),SUM(D13:E13))</f>
        <v>-0.2222222222</v>
      </c>
      <c r="G13" s="10" t="s">
        <v>14</v>
      </c>
      <c r="H13" s="11">
        <v>8.0</v>
      </c>
      <c r="I13" s="11">
        <v>3.0</v>
      </c>
      <c r="J13" s="13">
        <f t="shared" ref="J13:J16" si="12">DIVIDE(MINUS(H13,I13),SUM(H13:I13))</f>
        <v>0.4545454545</v>
      </c>
      <c r="K13" s="10" t="s">
        <v>15</v>
      </c>
      <c r="L13" s="11">
        <v>7.0</v>
      </c>
      <c r="M13" s="11">
        <v>8.0</v>
      </c>
      <c r="N13" s="13">
        <f t="shared" ref="N13:N16" si="13">DIVIDE(MINUS(L13,M13),SUM(L13:M13))</f>
        <v>-0.06666666667</v>
      </c>
      <c r="O13" s="10" t="s">
        <v>16</v>
      </c>
      <c r="P13" s="11">
        <v>8.0</v>
      </c>
      <c r="Q13" s="11">
        <v>7.0</v>
      </c>
      <c r="R13" s="13">
        <f t="shared" ref="R13:R16" si="14">DIVIDE(MINUS(P13,Q13),SUM(P13:Q13))</f>
        <v>0.06666666667</v>
      </c>
      <c r="S13" s="10" t="s">
        <v>17</v>
      </c>
      <c r="T13" s="11">
        <v>7.0</v>
      </c>
      <c r="U13" s="11">
        <v>11.0</v>
      </c>
      <c r="V13" s="13">
        <f t="shared" ref="V13:V16" si="15">DIVIDE(MINUS(T13,U13),SUM(T13:U13))</f>
        <v>-0.2222222222</v>
      </c>
      <c r="X13" s="14">
        <f>AVERAGE(L13:L14)</f>
        <v>7</v>
      </c>
      <c r="AB13" s="14">
        <f>AVERAGE(P13:P14)</f>
        <v>7</v>
      </c>
    </row>
    <row r="14">
      <c r="C14" s="5" t="s">
        <v>18</v>
      </c>
      <c r="D14" s="9">
        <v>8.0</v>
      </c>
      <c r="E14" s="9">
        <v>6.0</v>
      </c>
      <c r="F14" s="9">
        <f t="shared" si="11"/>
        <v>0.1428571429</v>
      </c>
      <c r="G14" s="10" t="s">
        <v>19</v>
      </c>
      <c r="H14" s="11">
        <v>8.0</v>
      </c>
      <c r="I14" s="11">
        <v>2.0</v>
      </c>
      <c r="J14" s="13">
        <f t="shared" si="12"/>
        <v>0.6</v>
      </c>
      <c r="K14" s="10" t="s">
        <v>20</v>
      </c>
      <c r="L14" s="11">
        <v>7.0</v>
      </c>
      <c r="M14" s="11">
        <v>5.0</v>
      </c>
      <c r="N14" s="13">
        <f t="shared" si="13"/>
        <v>0.1666666667</v>
      </c>
      <c r="O14" s="10" t="s">
        <v>21</v>
      </c>
      <c r="P14" s="11">
        <v>6.0</v>
      </c>
      <c r="Q14" s="17"/>
      <c r="R14" s="13">
        <f t="shared" si="14"/>
        <v>1</v>
      </c>
      <c r="S14" s="10" t="s">
        <v>22</v>
      </c>
      <c r="T14" s="11">
        <v>8.0</v>
      </c>
      <c r="U14" s="11">
        <v>9.0</v>
      </c>
      <c r="V14" s="13">
        <f t="shared" si="15"/>
        <v>-0.05882352941</v>
      </c>
    </row>
    <row r="15">
      <c r="C15" s="5" t="s">
        <v>23</v>
      </c>
      <c r="D15" s="9">
        <v>8.0</v>
      </c>
      <c r="E15" s="9">
        <v>5.0</v>
      </c>
      <c r="F15" s="9">
        <f t="shared" si="11"/>
        <v>0.2307692308</v>
      </c>
      <c r="G15" s="10" t="s">
        <v>24</v>
      </c>
      <c r="H15" s="11">
        <v>6.0</v>
      </c>
      <c r="I15" s="11">
        <v>3.0</v>
      </c>
      <c r="J15" s="13">
        <f t="shared" si="12"/>
        <v>0.3333333333</v>
      </c>
      <c r="K15" s="10" t="s">
        <v>25</v>
      </c>
      <c r="L15" s="11">
        <v>8.0</v>
      </c>
      <c r="M15" s="11">
        <v>3.0</v>
      </c>
      <c r="N15" s="13">
        <f t="shared" si="13"/>
        <v>0.4545454545</v>
      </c>
      <c r="O15" s="10" t="s">
        <v>26</v>
      </c>
      <c r="P15" s="11">
        <v>8.0</v>
      </c>
      <c r="Q15" s="17"/>
      <c r="R15" s="13">
        <f t="shared" si="14"/>
        <v>1</v>
      </c>
      <c r="S15" s="10" t="s">
        <v>27</v>
      </c>
      <c r="T15" s="11">
        <v>8.0</v>
      </c>
      <c r="U15" s="11">
        <v>8.0</v>
      </c>
      <c r="V15" s="13">
        <f t="shared" si="15"/>
        <v>0</v>
      </c>
      <c r="X15" s="14">
        <f>AVERAGE(L15:L16)</f>
        <v>7.5</v>
      </c>
      <c r="AB15" s="14">
        <f>AVERAGE(P15:P16)</f>
        <v>7.5</v>
      </c>
    </row>
    <row r="16">
      <c r="C16" s="5" t="s">
        <v>28</v>
      </c>
      <c r="D16" s="9">
        <v>8.0</v>
      </c>
      <c r="E16" s="9">
        <v>1.0</v>
      </c>
      <c r="F16" s="9">
        <f t="shared" si="11"/>
        <v>0.7777777778</v>
      </c>
      <c r="G16" s="10" t="s">
        <v>29</v>
      </c>
      <c r="H16" s="11">
        <v>1.0</v>
      </c>
      <c r="I16" s="11">
        <v>0.0</v>
      </c>
      <c r="J16" s="13">
        <f t="shared" si="12"/>
        <v>1</v>
      </c>
      <c r="K16" s="10" t="s">
        <v>30</v>
      </c>
      <c r="L16" s="11">
        <v>7.0</v>
      </c>
      <c r="M16" s="11">
        <v>2.0</v>
      </c>
      <c r="N16" s="13">
        <f t="shared" si="13"/>
        <v>0.5555555556</v>
      </c>
      <c r="O16" s="10" t="s">
        <v>31</v>
      </c>
      <c r="P16" s="11">
        <v>7.0</v>
      </c>
      <c r="Q16" s="11">
        <v>12.0</v>
      </c>
      <c r="R16" s="13">
        <f t="shared" si="14"/>
        <v>-0.2631578947</v>
      </c>
      <c r="S16" s="10" t="s">
        <v>32</v>
      </c>
      <c r="T16" s="11">
        <v>7.0</v>
      </c>
      <c r="U16" s="11">
        <v>4.0</v>
      </c>
      <c r="V16" s="13">
        <f t="shared" si="15"/>
        <v>0.2727272727</v>
      </c>
    </row>
    <row r="17">
      <c r="C17" s="15" t="s">
        <v>33</v>
      </c>
      <c r="F17" s="16">
        <f>AVERAGE(D13:D16)</f>
        <v>7.75</v>
      </c>
      <c r="G17" s="15" t="s">
        <v>33</v>
      </c>
      <c r="J17" s="16">
        <f>AVERAGE(H13:H16)</f>
        <v>5.75</v>
      </c>
      <c r="K17" s="15" t="s">
        <v>33</v>
      </c>
      <c r="N17" s="16">
        <f>AVERAGE(L13:L16)</f>
        <v>7.25</v>
      </c>
      <c r="O17" s="15" t="s">
        <v>33</v>
      </c>
      <c r="R17" s="16">
        <f>AVERAGE(P13:P16)</f>
        <v>7.25</v>
      </c>
      <c r="S17" s="15" t="s">
        <v>33</v>
      </c>
      <c r="V17" s="16">
        <f>AVERAGE(T13:T16)</f>
        <v>7.5</v>
      </c>
    </row>
    <row r="18">
      <c r="A18" s="5" t="s">
        <v>36</v>
      </c>
      <c r="B18" s="8" t="s">
        <v>12</v>
      </c>
      <c r="C18" s="5" t="s">
        <v>13</v>
      </c>
      <c r="D18" s="9">
        <v>6.0</v>
      </c>
      <c r="E18" s="9">
        <v>2.0</v>
      </c>
      <c r="F18" s="9">
        <f t="shared" ref="F18:F21" si="16">DIVIDE(MINUS(D18,E18),SUM(D18:E18))</f>
        <v>0.5</v>
      </c>
      <c r="G18" s="10" t="s">
        <v>14</v>
      </c>
      <c r="H18" s="11">
        <v>7.0</v>
      </c>
      <c r="I18" s="11">
        <v>6.0</v>
      </c>
      <c r="J18" s="13">
        <f t="shared" ref="J18:J20" si="17">DIVIDE(MINUS(H18,I18),SUM(H18:I18))</f>
        <v>0.07692307692</v>
      </c>
      <c r="K18" s="10" t="s">
        <v>15</v>
      </c>
      <c r="L18" s="11">
        <v>7.0</v>
      </c>
      <c r="M18" s="11">
        <v>3.0</v>
      </c>
      <c r="N18" s="13">
        <f t="shared" ref="N18:N21" si="18">DIVIDE(MINUS(L18,M18),SUM(L18:M18))</f>
        <v>0.4</v>
      </c>
      <c r="O18" s="10" t="s">
        <v>16</v>
      </c>
      <c r="P18" s="11">
        <v>3.0</v>
      </c>
      <c r="Q18" s="11">
        <v>0.0</v>
      </c>
      <c r="R18" s="13">
        <f t="shared" ref="R18:R21" si="19">DIVIDE(MINUS(P18,Q18),SUM(P18:Q18))</f>
        <v>1</v>
      </c>
      <c r="S18" s="10" t="s">
        <v>17</v>
      </c>
      <c r="T18" s="11">
        <v>5.0</v>
      </c>
      <c r="U18" s="11">
        <v>0.0</v>
      </c>
      <c r="V18" s="13">
        <f t="shared" ref="V18:V21" si="20">DIVIDE(MINUS(T18,U18),SUM(T18:U18))</f>
        <v>1</v>
      </c>
      <c r="X18" s="14">
        <f>AVERAGE(L18:L19)</f>
        <v>7</v>
      </c>
      <c r="AB18" s="14">
        <f>AVERAGE(P18:P19)</f>
        <v>2</v>
      </c>
    </row>
    <row r="19">
      <c r="C19" s="5" t="s">
        <v>18</v>
      </c>
      <c r="D19" s="9">
        <v>8.0</v>
      </c>
      <c r="E19" s="9">
        <v>12.0</v>
      </c>
      <c r="F19" s="9">
        <f t="shared" si="16"/>
        <v>-0.2</v>
      </c>
      <c r="G19" s="10" t="s">
        <v>19</v>
      </c>
      <c r="H19" s="11">
        <v>7.0</v>
      </c>
      <c r="I19" s="11">
        <v>7.0</v>
      </c>
      <c r="J19" s="13">
        <f t="shared" si="17"/>
        <v>0</v>
      </c>
      <c r="K19" s="10" t="s">
        <v>20</v>
      </c>
      <c r="L19" s="11">
        <v>7.0</v>
      </c>
      <c r="M19" s="11">
        <v>9.0</v>
      </c>
      <c r="N19" s="13">
        <f t="shared" si="18"/>
        <v>-0.125</v>
      </c>
      <c r="O19" s="10" t="s">
        <v>21</v>
      </c>
      <c r="P19" s="11">
        <v>1.0</v>
      </c>
      <c r="Q19" s="11">
        <v>1.0</v>
      </c>
      <c r="R19" s="13">
        <f t="shared" si="19"/>
        <v>0</v>
      </c>
      <c r="S19" s="10" t="s">
        <v>22</v>
      </c>
      <c r="T19" s="11">
        <v>6.0</v>
      </c>
      <c r="U19" s="11">
        <v>2.0</v>
      </c>
      <c r="V19" s="13">
        <f t="shared" si="20"/>
        <v>0.5</v>
      </c>
    </row>
    <row r="20">
      <c r="C20" s="5" t="s">
        <v>23</v>
      </c>
      <c r="D20" s="9">
        <v>6.0</v>
      </c>
      <c r="E20" s="9">
        <v>6.0</v>
      </c>
      <c r="F20" s="9">
        <f t="shared" si="16"/>
        <v>0</v>
      </c>
      <c r="G20" s="10" t="s">
        <v>24</v>
      </c>
      <c r="H20" s="11">
        <v>6.0</v>
      </c>
      <c r="I20" s="11">
        <v>0.0</v>
      </c>
      <c r="J20" s="13">
        <f t="shared" si="17"/>
        <v>1</v>
      </c>
      <c r="K20" s="10" t="s">
        <v>25</v>
      </c>
      <c r="L20" s="11">
        <v>4.0</v>
      </c>
      <c r="M20" s="11">
        <v>0.0</v>
      </c>
      <c r="N20" s="13">
        <f t="shared" si="18"/>
        <v>1</v>
      </c>
      <c r="O20" s="10" t="s">
        <v>26</v>
      </c>
      <c r="P20" s="11">
        <v>8.0</v>
      </c>
      <c r="Q20" s="11">
        <v>1.0</v>
      </c>
      <c r="R20" s="13">
        <f t="shared" si="19"/>
        <v>0.7777777778</v>
      </c>
      <c r="S20" s="10" t="s">
        <v>27</v>
      </c>
      <c r="T20" s="11">
        <v>7.0</v>
      </c>
      <c r="U20" s="11">
        <v>3.0</v>
      </c>
      <c r="V20" s="13">
        <f t="shared" si="20"/>
        <v>0.4</v>
      </c>
      <c r="X20" s="14">
        <f>AVERAGE(L20:L21)</f>
        <v>5</v>
      </c>
      <c r="AB20" s="14">
        <f>AVERAGE(P20:P21)</f>
        <v>7.5</v>
      </c>
    </row>
    <row r="21">
      <c r="C21" s="5" t="s">
        <v>28</v>
      </c>
      <c r="D21" s="9">
        <v>8.0</v>
      </c>
      <c r="E21" s="9">
        <v>2.0</v>
      </c>
      <c r="F21" s="9">
        <f t="shared" si="16"/>
        <v>0.6</v>
      </c>
      <c r="G21" s="10" t="s">
        <v>29</v>
      </c>
      <c r="H21" s="11">
        <v>0.0</v>
      </c>
      <c r="I21" s="11">
        <v>0.0</v>
      </c>
      <c r="J21" s="12">
        <v>0.0</v>
      </c>
      <c r="K21" s="10" t="s">
        <v>30</v>
      </c>
      <c r="L21" s="11">
        <v>6.0</v>
      </c>
      <c r="M21" s="11">
        <v>6.0</v>
      </c>
      <c r="N21" s="13">
        <f t="shared" si="18"/>
        <v>0</v>
      </c>
      <c r="O21" s="10" t="s">
        <v>31</v>
      </c>
      <c r="P21" s="11">
        <v>7.0</v>
      </c>
      <c r="Q21" s="11">
        <v>6.0</v>
      </c>
      <c r="R21" s="13">
        <f t="shared" si="19"/>
        <v>0.07692307692</v>
      </c>
      <c r="S21" s="10" t="s">
        <v>32</v>
      </c>
      <c r="T21" s="11">
        <v>7.0</v>
      </c>
      <c r="U21" s="11">
        <v>10.0</v>
      </c>
      <c r="V21" s="13">
        <f t="shared" si="20"/>
        <v>-0.1764705882</v>
      </c>
    </row>
    <row r="22">
      <c r="C22" s="15" t="s">
        <v>33</v>
      </c>
      <c r="F22" s="16">
        <f>AVERAGE(D18:D21)</f>
        <v>7</v>
      </c>
      <c r="G22" s="15" t="s">
        <v>33</v>
      </c>
      <c r="J22" s="16">
        <f>AVERAGE(H18:H21)</f>
        <v>5</v>
      </c>
      <c r="K22" s="15" t="s">
        <v>33</v>
      </c>
      <c r="N22" s="16">
        <f>AVERAGE(L18:L21)</f>
        <v>6</v>
      </c>
      <c r="O22" s="15" t="s">
        <v>33</v>
      </c>
      <c r="R22" s="16">
        <f>AVERAGE(P18:P21)</f>
        <v>4.75</v>
      </c>
      <c r="S22" s="15" t="s">
        <v>33</v>
      </c>
      <c r="V22" s="16">
        <f>AVERAGE(T18:T21)</f>
        <v>6.25</v>
      </c>
    </row>
    <row r="23">
      <c r="A23" s="5" t="s">
        <v>37</v>
      </c>
      <c r="B23" s="8" t="s">
        <v>12</v>
      </c>
      <c r="C23" s="5" t="s">
        <v>13</v>
      </c>
      <c r="D23" s="9">
        <v>8.0</v>
      </c>
      <c r="E23" s="9">
        <v>2.0</v>
      </c>
      <c r="F23" s="9">
        <f t="shared" ref="F23:F26" si="21">DIVIDE(MINUS(D23,E23),SUM(D23:E23))</f>
        <v>0.6</v>
      </c>
      <c r="G23" s="10" t="s">
        <v>14</v>
      </c>
      <c r="H23" s="11">
        <v>6.0</v>
      </c>
      <c r="I23" s="11">
        <v>3.0</v>
      </c>
      <c r="J23" s="13">
        <f t="shared" ref="J23:J26" si="22">DIVIDE(MINUS(H23,I23),SUM(H23:I23))</f>
        <v>0.3333333333</v>
      </c>
      <c r="K23" s="10" t="s">
        <v>15</v>
      </c>
      <c r="L23" s="11">
        <v>6.0</v>
      </c>
      <c r="M23" s="11">
        <v>4.0</v>
      </c>
      <c r="N23" s="13">
        <f t="shared" ref="N23:N26" si="23">DIVIDE(MINUS(L23,M23),SUM(L23:M23))</f>
        <v>0.2</v>
      </c>
      <c r="O23" s="10" t="s">
        <v>16</v>
      </c>
      <c r="P23" s="11">
        <v>5.0</v>
      </c>
      <c r="Q23" s="11">
        <v>0.0</v>
      </c>
      <c r="R23" s="13">
        <f t="shared" ref="R23:R26" si="24">DIVIDE(MINUS(P23,Q23),SUM(P23:Q23))</f>
        <v>1</v>
      </c>
      <c r="S23" s="10" t="s">
        <v>17</v>
      </c>
      <c r="T23" s="11">
        <v>6.0</v>
      </c>
      <c r="U23" s="11">
        <v>5.0</v>
      </c>
      <c r="V23" s="13">
        <f t="shared" ref="V23:V26" si="25">DIVIDE(MINUS(T23,U23),SUM(T23:U23))</f>
        <v>0.09090909091</v>
      </c>
      <c r="X23" s="14">
        <f>AVERAGE(L23:L24)</f>
        <v>6.5</v>
      </c>
      <c r="AB23" s="14">
        <f>AVERAGE(P23:P24)</f>
        <v>6</v>
      </c>
    </row>
    <row r="24">
      <c r="C24" s="5" t="s">
        <v>18</v>
      </c>
      <c r="D24" s="9">
        <v>8.0</v>
      </c>
      <c r="E24" s="9">
        <v>5.0</v>
      </c>
      <c r="F24" s="9">
        <f t="shared" si="21"/>
        <v>0.2307692308</v>
      </c>
      <c r="G24" s="10" t="s">
        <v>19</v>
      </c>
      <c r="H24" s="11">
        <v>8.0</v>
      </c>
      <c r="I24" s="11">
        <v>2.0</v>
      </c>
      <c r="J24" s="13">
        <f t="shared" si="22"/>
        <v>0.6</v>
      </c>
      <c r="K24" s="10" t="s">
        <v>20</v>
      </c>
      <c r="L24" s="11">
        <v>7.0</v>
      </c>
      <c r="M24" s="11">
        <v>11.0</v>
      </c>
      <c r="N24" s="13">
        <f t="shared" si="23"/>
        <v>-0.2222222222</v>
      </c>
      <c r="O24" s="10" t="s">
        <v>21</v>
      </c>
      <c r="P24" s="11">
        <v>7.0</v>
      </c>
      <c r="Q24" s="11">
        <v>1.0</v>
      </c>
      <c r="R24" s="13">
        <f t="shared" si="24"/>
        <v>0.75</v>
      </c>
      <c r="S24" s="10" t="s">
        <v>22</v>
      </c>
      <c r="T24" s="11">
        <v>1.0</v>
      </c>
      <c r="U24" s="11">
        <v>0.0</v>
      </c>
      <c r="V24" s="13">
        <f t="shared" si="25"/>
        <v>1</v>
      </c>
    </row>
    <row r="25">
      <c r="C25" s="5" t="s">
        <v>23</v>
      </c>
      <c r="D25" s="9">
        <v>6.0</v>
      </c>
      <c r="E25" s="9">
        <v>6.0</v>
      </c>
      <c r="F25" s="9">
        <f t="shared" si="21"/>
        <v>0</v>
      </c>
      <c r="G25" s="10" t="s">
        <v>24</v>
      </c>
      <c r="H25" s="11">
        <v>4.0</v>
      </c>
      <c r="I25" s="11">
        <v>0.0</v>
      </c>
      <c r="J25" s="13">
        <f t="shared" si="22"/>
        <v>1</v>
      </c>
      <c r="K25" s="10" t="s">
        <v>25</v>
      </c>
      <c r="L25" s="11">
        <v>1.0</v>
      </c>
      <c r="M25" s="11">
        <v>0.0</v>
      </c>
      <c r="N25" s="13">
        <f t="shared" si="23"/>
        <v>1</v>
      </c>
      <c r="O25" s="10" t="s">
        <v>26</v>
      </c>
      <c r="P25" s="11">
        <v>7.0</v>
      </c>
      <c r="Q25" s="11">
        <v>8.0</v>
      </c>
      <c r="R25" s="13">
        <f t="shared" si="24"/>
        <v>-0.06666666667</v>
      </c>
      <c r="S25" s="10" t="s">
        <v>27</v>
      </c>
      <c r="T25" s="11">
        <v>5.0</v>
      </c>
      <c r="U25" s="11">
        <v>1.0</v>
      </c>
      <c r="V25" s="13">
        <f t="shared" si="25"/>
        <v>0.6666666667</v>
      </c>
      <c r="X25" s="14">
        <f>AVERAGE(L25:L26)</f>
        <v>4.5</v>
      </c>
      <c r="AB25" s="14">
        <f>AVERAGE(P25:P26)</f>
        <v>7.5</v>
      </c>
    </row>
    <row r="26">
      <c r="C26" s="5" t="s">
        <v>28</v>
      </c>
      <c r="D26" s="9">
        <v>7.0</v>
      </c>
      <c r="E26" s="9">
        <v>4.0</v>
      </c>
      <c r="F26" s="9">
        <f t="shared" si="21"/>
        <v>0.2727272727</v>
      </c>
      <c r="G26" s="10" t="s">
        <v>29</v>
      </c>
      <c r="H26" s="11">
        <v>2.0</v>
      </c>
      <c r="I26" s="11">
        <v>0.0</v>
      </c>
      <c r="J26" s="13">
        <f t="shared" si="22"/>
        <v>1</v>
      </c>
      <c r="K26" s="10" t="s">
        <v>30</v>
      </c>
      <c r="L26" s="11">
        <v>8.0</v>
      </c>
      <c r="M26" s="11">
        <v>12.0</v>
      </c>
      <c r="N26" s="13">
        <f t="shared" si="23"/>
        <v>-0.2</v>
      </c>
      <c r="O26" s="10" t="s">
        <v>31</v>
      </c>
      <c r="P26" s="11">
        <v>8.0</v>
      </c>
      <c r="Q26" s="11">
        <v>11.0</v>
      </c>
      <c r="R26" s="13">
        <f t="shared" si="24"/>
        <v>-0.1578947368</v>
      </c>
      <c r="S26" s="10" t="s">
        <v>32</v>
      </c>
      <c r="T26" s="11">
        <v>8.0</v>
      </c>
      <c r="U26" s="11">
        <v>5.0</v>
      </c>
      <c r="V26" s="13">
        <f t="shared" si="25"/>
        <v>0.2307692308</v>
      </c>
    </row>
    <row r="27">
      <c r="C27" s="15" t="s">
        <v>33</v>
      </c>
      <c r="F27" s="16">
        <f>AVERAGE(D23:D26)</f>
        <v>7.25</v>
      </c>
      <c r="G27" s="15" t="s">
        <v>33</v>
      </c>
      <c r="J27" s="16">
        <f>AVERAGE(H23:H26)</f>
        <v>5</v>
      </c>
      <c r="K27" s="15" t="s">
        <v>33</v>
      </c>
      <c r="N27" s="16">
        <f>AVERAGE(L23:L26)</f>
        <v>5.5</v>
      </c>
      <c r="O27" s="15" t="s">
        <v>33</v>
      </c>
      <c r="R27" s="16">
        <f>AVERAGE(P23:P26)</f>
        <v>6.75</v>
      </c>
      <c r="S27" s="15" t="s">
        <v>33</v>
      </c>
      <c r="V27" s="16">
        <f>AVERAGE(T23:T26)</f>
        <v>5</v>
      </c>
    </row>
    <row r="28">
      <c r="A28" s="5" t="s">
        <v>38</v>
      </c>
      <c r="B28" s="8" t="s">
        <v>12</v>
      </c>
      <c r="C28" s="5" t="s">
        <v>13</v>
      </c>
      <c r="D28" s="9">
        <v>6.0</v>
      </c>
      <c r="E28" s="9">
        <v>3.0</v>
      </c>
      <c r="F28" s="9">
        <f t="shared" ref="F28:F31" si="26">DIVIDE(MINUS(D28,E28),SUM(D28:E28))</f>
        <v>0.3333333333</v>
      </c>
      <c r="G28" s="10" t="s">
        <v>14</v>
      </c>
      <c r="H28" s="11">
        <v>3.0</v>
      </c>
      <c r="I28" s="11">
        <v>1.0</v>
      </c>
      <c r="J28" s="13">
        <f t="shared" ref="J28:J30" si="27">DIVIDE(MINUS(H28,I28),SUM(H28:I28))</f>
        <v>0.5</v>
      </c>
      <c r="K28" s="10" t="s">
        <v>15</v>
      </c>
      <c r="L28" s="11">
        <v>3.0</v>
      </c>
      <c r="M28" s="11">
        <v>1.0</v>
      </c>
      <c r="N28" s="13">
        <f t="shared" ref="N28:N31" si="28">DIVIDE(MINUS(L28,M28),SUM(L28:M28))</f>
        <v>0.5</v>
      </c>
      <c r="O28" s="10" t="s">
        <v>16</v>
      </c>
      <c r="P28" s="11">
        <v>5.0</v>
      </c>
      <c r="Q28" s="11">
        <v>0.0</v>
      </c>
      <c r="R28" s="13">
        <f t="shared" ref="R28:R31" si="29">DIVIDE(MINUS(P28,Q28),SUM(P28:Q28))</f>
        <v>1</v>
      </c>
      <c r="S28" s="10" t="s">
        <v>17</v>
      </c>
      <c r="T28" s="11">
        <v>7.0</v>
      </c>
      <c r="U28" s="11">
        <v>2.0</v>
      </c>
      <c r="V28" s="13">
        <f t="shared" ref="V28:V29" si="30">DIVIDE(MINUS(T28,U28),SUM(T28:U28))</f>
        <v>0.5555555556</v>
      </c>
      <c r="X28" s="14">
        <f>AVERAGE(L28:L29)</f>
        <v>5</v>
      </c>
      <c r="AB28" s="14">
        <f>AVERAGE(P28:P29)</f>
        <v>5.5</v>
      </c>
    </row>
    <row r="29">
      <c r="C29" s="5" t="s">
        <v>18</v>
      </c>
      <c r="D29" s="9">
        <v>8.0</v>
      </c>
      <c r="E29" s="9">
        <v>7.0</v>
      </c>
      <c r="F29" s="9">
        <f t="shared" si="26"/>
        <v>0.06666666667</v>
      </c>
      <c r="G29" s="10" t="s">
        <v>19</v>
      </c>
      <c r="H29" s="11">
        <v>6.0</v>
      </c>
      <c r="I29" s="11">
        <v>11.0</v>
      </c>
      <c r="J29" s="13">
        <f t="shared" si="27"/>
        <v>-0.2941176471</v>
      </c>
      <c r="K29" s="10" t="s">
        <v>20</v>
      </c>
      <c r="L29" s="11">
        <v>7.0</v>
      </c>
      <c r="M29" s="11">
        <v>9.0</v>
      </c>
      <c r="N29" s="13">
        <f t="shared" si="28"/>
        <v>-0.125</v>
      </c>
      <c r="O29" s="10" t="s">
        <v>21</v>
      </c>
      <c r="P29" s="11">
        <v>6.0</v>
      </c>
      <c r="Q29" s="11">
        <v>4.0</v>
      </c>
      <c r="R29" s="13">
        <f t="shared" si="29"/>
        <v>0.2</v>
      </c>
      <c r="S29" s="10" t="s">
        <v>22</v>
      </c>
      <c r="T29" s="11">
        <v>5.0</v>
      </c>
      <c r="U29" s="11">
        <v>4.0</v>
      </c>
      <c r="V29" s="13">
        <f t="shared" si="30"/>
        <v>0.1111111111</v>
      </c>
    </row>
    <row r="30">
      <c r="C30" s="5" t="s">
        <v>23</v>
      </c>
      <c r="D30" s="9">
        <v>8.0</v>
      </c>
      <c r="E30" s="9">
        <v>11.0</v>
      </c>
      <c r="F30" s="9">
        <f t="shared" si="26"/>
        <v>-0.1578947368</v>
      </c>
      <c r="G30" s="10" t="s">
        <v>24</v>
      </c>
      <c r="H30" s="11">
        <v>5.0</v>
      </c>
      <c r="I30" s="11">
        <v>2.0</v>
      </c>
      <c r="J30" s="13">
        <f t="shared" si="27"/>
        <v>0.4285714286</v>
      </c>
      <c r="K30" s="10" t="s">
        <v>25</v>
      </c>
      <c r="L30" s="11">
        <v>8.0</v>
      </c>
      <c r="M30" s="11">
        <v>3.0</v>
      </c>
      <c r="N30" s="13">
        <f t="shared" si="28"/>
        <v>0.4545454545</v>
      </c>
      <c r="O30" s="10" t="s">
        <v>26</v>
      </c>
      <c r="P30" s="11">
        <v>8.0</v>
      </c>
      <c r="Q30" s="11">
        <v>2.0</v>
      </c>
      <c r="R30" s="13">
        <f t="shared" si="29"/>
        <v>0.6</v>
      </c>
      <c r="S30" s="10" t="s">
        <v>27</v>
      </c>
      <c r="T30" s="11">
        <v>0.0</v>
      </c>
      <c r="U30" s="11">
        <v>0.0</v>
      </c>
      <c r="V30" s="12">
        <v>0.0</v>
      </c>
      <c r="X30" s="14">
        <f>AVERAGE(L30:L31)</f>
        <v>7.5</v>
      </c>
      <c r="AB30" s="14">
        <f>AVERAGE(P30:P31)</f>
        <v>8</v>
      </c>
    </row>
    <row r="31">
      <c r="C31" s="5" t="s">
        <v>28</v>
      </c>
      <c r="D31" s="9">
        <v>6.0</v>
      </c>
      <c r="E31" s="9">
        <v>10.0</v>
      </c>
      <c r="F31" s="9">
        <f t="shared" si="26"/>
        <v>-0.25</v>
      </c>
      <c r="G31" s="10" t="s">
        <v>29</v>
      </c>
      <c r="H31" s="18">
        <v>0.0</v>
      </c>
      <c r="I31" s="11">
        <v>0.0</v>
      </c>
      <c r="J31" s="12">
        <v>0.0</v>
      </c>
      <c r="K31" s="10" t="s">
        <v>30</v>
      </c>
      <c r="L31" s="11">
        <v>7.0</v>
      </c>
      <c r="M31" s="11">
        <v>13.0</v>
      </c>
      <c r="N31" s="13">
        <f t="shared" si="28"/>
        <v>-0.3</v>
      </c>
      <c r="O31" s="10" t="s">
        <v>31</v>
      </c>
      <c r="P31" s="11">
        <v>8.0</v>
      </c>
      <c r="Q31" s="11">
        <v>2.0</v>
      </c>
      <c r="R31" s="13">
        <f t="shared" si="29"/>
        <v>0.6</v>
      </c>
      <c r="S31" s="10" t="s">
        <v>32</v>
      </c>
      <c r="T31" s="11">
        <v>8.0</v>
      </c>
      <c r="U31" s="11">
        <v>13.0</v>
      </c>
      <c r="V31" s="13">
        <f>DIVIDE(MINUS(T31,U31),SUM(T31:U31))</f>
        <v>-0.2380952381</v>
      </c>
    </row>
    <row r="32">
      <c r="C32" s="15" t="s">
        <v>33</v>
      </c>
      <c r="F32" s="16">
        <f>AVERAGE(D28:D31)</f>
        <v>7</v>
      </c>
      <c r="G32" s="15" t="s">
        <v>33</v>
      </c>
      <c r="J32" s="16">
        <f>AVERAGE(H28:H31)</f>
        <v>3.5</v>
      </c>
      <c r="K32" s="15" t="s">
        <v>33</v>
      </c>
      <c r="N32" s="16">
        <f>AVERAGE(L28:L31)</f>
        <v>6.25</v>
      </c>
      <c r="O32" s="15" t="s">
        <v>33</v>
      </c>
      <c r="R32" s="16">
        <f>AVERAGE(P28:P31)</f>
        <v>6.75</v>
      </c>
      <c r="S32" s="15" t="s">
        <v>33</v>
      </c>
      <c r="V32" s="16">
        <f>AVERAGE(T28:T31)</f>
        <v>5</v>
      </c>
    </row>
    <row r="33">
      <c r="A33" s="5" t="s">
        <v>39</v>
      </c>
      <c r="B33" s="8" t="s">
        <v>12</v>
      </c>
      <c r="C33" s="5" t="s">
        <v>13</v>
      </c>
      <c r="D33" s="9">
        <v>8.0</v>
      </c>
      <c r="E33" s="9">
        <v>2.0</v>
      </c>
      <c r="F33" s="9">
        <f t="shared" ref="F33:F36" si="31">DIVIDE(MINUS(D33,E33),SUM(D33:E33))</f>
        <v>0.6</v>
      </c>
      <c r="G33" s="10" t="s">
        <v>14</v>
      </c>
      <c r="H33" s="11">
        <v>0.0</v>
      </c>
      <c r="I33" s="11">
        <v>0.0</v>
      </c>
      <c r="J33" s="12">
        <v>0.0</v>
      </c>
      <c r="K33" s="10" t="s">
        <v>15</v>
      </c>
      <c r="L33" s="11">
        <v>4.0</v>
      </c>
      <c r="M33" s="11">
        <v>0.0</v>
      </c>
      <c r="N33" s="13">
        <f t="shared" ref="N33:N36" si="32">DIVIDE(MINUS(L33,M33),SUM(L33:M33))</f>
        <v>1</v>
      </c>
      <c r="O33" s="10" t="s">
        <v>16</v>
      </c>
      <c r="P33" s="11">
        <v>0.0</v>
      </c>
      <c r="Q33" s="11">
        <v>0.0</v>
      </c>
      <c r="R33" s="12">
        <v>0.0</v>
      </c>
      <c r="S33" s="10" t="s">
        <v>17</v>
      </c>
      <c r="T33" s="11">
        <v>6.0</v>
      </c>
      <c r="U33" s="11">
        <v>8.0</v>
      </c>
      <c r="V33" s="13">
        <f t="shared" ref="V33:V36" si="33">DIVIDE(MINUS(T33,U33),SUM(T33:U33))</f>
        <v>-0.1428571429</v>
      </c>
      <c r="X33" s="14">
        <f>AVERAGE(L33:L34)</f>
        <v>6</v>
      </c>
      <c r="AB33" s="14">
        <f>AVERAGE(P33:P34)</f>
        <v>3</v>
      </c>
    </row>
    <row r="34">
      <c r="C34" s="5" t="s">
        <v>18</v>
      </c>
      <c r="D34" s="9">
        <v>7.0</v>
      </c>
      <c r="E34" s="9">
        <v>10.0</v>
      </c>
      <c r="F34" s="9">
        <f t="shared" si="31"/>
        <v>-0.1764705882</v>
      </c>
      <c r="G34" s="10" t="s">
        <v>19</v>
      </c>
      <c r="H34" s="11">
        <v>8.0</v>
      </c>
      <c r="I34" s="11">
        <v>11.0</v>
      </c>
      <c r="J34" s="13">
        <f t="shared" ref="J34:J36" si="34">DIVIDE(MINUS(H34,I34),SUM(H34:I34))</f>
        <v>-0.1578947368</v>
      </c>
      <c r="K34" s="10" t="s">
        <v>20</v>
      </c>
      <c r="L34" s="11">
        <v>8.0</v>
      </c>
      <c r="M34" s="11">
        <v>6.0</v>
      </c>
      <c r="N34" s="13">
        <f t="shared" si="32"/>
        <v>0.1428571429</v>
      </c>
      <c r="O34" s="10" t="s">
        <v>21</v>
      </c>
      <c r="P34" s="11">
        <v>6.0</v>
      </c>
      <c r="Q34" s="11">
        <v>7.0</v>
      </c>
      <c r="R34" s="13">
        <f t="shared" ref="R34:R36" si="35">DIVIDE(MINUS(P34,Q34),SUM(P34:Q34))</f>
        <v>-0.07692307692</v>
      </c>
      <c r="S34" s="10" t="s">
        <v>22</v>
      </c>
      <c r="T34" s="11">
        <v>8.0</v>
      </c>
      <c r="U34" s="11">
        <v>1.0</v>
      </c>
      <c r="V34" s="13">
        <f t="shared" si="33"/>
        <v>0.7777777778</v>
      </c>
    </row>
    <row r="35">
      <c r="C35" s="5" t="s">
        <v>23</v>
      </c>
      <c r="D35" s="9">
        <v>7.0</v>
      </c>
      <c r="E35" s="9">
        <v>13.0</v>
      </c>
      <c r="F35" s="9">
        <f t="shared" si="31"/>
        <v>-0.3</v>
      </c>
      <c r="G35" s="10" t="s">
        <v>24</v>
      </c>
      <c r="H35" s="11">
        <v>7.0</v>
      </c>
      <c r="I35" s="11">
        <v>1.0</v>
      </c>
      <c r="J35" s="13">
        <f t="shared" si="34"/>
        <v>0.75</v>
      </c>
      <c r="K35" s="10" t="s">
        <v>25</v>
      </c>
      <c r="L35" s="11">
        <v>8.0</v>
      </c>
      <c r="M35" s="11">
        <v>1.0</v>
      </c>
      <c r="N35" s="13">
        <f t="shared" si="32"/>
        <v>0.7777777778</v>
      </c>
      <c r="O35" s="10" t="s">
        <v>26</v>
      </c>
      <c r="P35" s="11">
        <v>8.0</v>
      </c>
      <c r="Q35" s="11">
        <v>10.0</v>
      </c>
      <c r="R35" s="13">
        <f t="shared" si="35"/>
        <v>-0.1111111111</v>
      </c>
      <c r="S35" s="10" t="s">
        <v>27</v>
      </c>
      <c r="T35" s="11">
        <v>2.0</v>
      </c>
      <c r="U35" s="11">
        <v>0.0</v>
      </c>
      <c r="V35" s="13">
        <f t="shared" si="33"/>
        <v>1</v>
      </c>
      <c r="X35" s="14">
        <f>AVERAGE(L35:L36)</f>
        <v>8</v>
      </c>
      <c r="AB35" s="14">
        <f>AVERAGE(P35:P36)</f>
        <v>7.5</v>
      </c>
    </row>
    <row r="36">
      <c r="C36" s="5" t="s">
        <v>28</v>
      </c>
      <c r="D36" s="9">
        <v>6.0</v>
      </c>
      <c r="E36" s="9">
        <v>4.0</v>
      </c>
      <c r="F36" s="9">
        <f t="shared" si="31"/>
        <v>0.2</v>
      </c>
      <c r="G36" s="10" t="s">
        <v>29</v>
      </c>
      <c r="H36" s="11">
        <v>1.0</v>
      </c>
      <c r="I36" s="11">
        <v>0.0</v>
      </c>
      <c r="J36" s="13">
        <f t="shared" si="34"/>
        <v>1</v>
      </c>
      <c r="K36" s="10" t="s">
        <v>30</v>
      </c>
      <c r="L36" s="11">
        <v>8.0</v>
      </c>
      <c r="M36" s="11">
        <v>3.0</v>
      </c>
      <c r="N36" s="13">
        <f t="shared" si="32"/>
        <v>0.4545454545</v>
      </c>
      <c r="O36" s="10" t="s">
        <v>31</v>
      </c>
      <c r="P36" s="11">
        <v>7.0</v>
      </c>
      <c r="Q36" s="11">
        <v>15.0</v>
      </c>
      <c r="R36" s="13">
        <f t="shared" si="35"/>
        <v>-0.3636363636</v>
      </c>
      <c r="S36" s="10" t="s">
        <v>32</v>
      </c>
      <c r="T36" s="11">
        <v>8.0</v>
      </c>
      <c r="U36" s="11">
        <v>11.0</v>
      </c>
      <c r="V36" s="13">
        <f t="shared" si="33"/>
        <v>-0.1578947368</v>
      </c>
    </row>
    <row r="37">
      <c r="C37" s="15" t="s">
        <v>33</v>
      </c>
      <c r="F37" s="16">
        <f>AVERAGE(D33:D36)</f>
        <v>7</v>
      </c>
      <c r="G37" s="15" t="s">
        <v>33</v>
      </c>
      <c r="J37" s="16">
        <f>AVERAGE(H33:H36)</f>
        <v>4</v>
      </c>
      <c r="K37" s="15" t="s">
        <v>33</v>
      </c>
      <c r="N37" s="16">
        <f>AVERAGE(L33:L36)</f>
        <v>7</v>
      </c>
      <c r="O37" s="15" t="s">
        <v>33</v>
      </c>
      <c r="R37" s="16">
        <f>AVERAGE(P33:P36)</f>
        <v>5.25</v>
      </c>
      <c r="S37" s="15" t="s">
        <v>33</v>
      </c>
      <c r="V37" s="16">
        <f>AVERAGE(T33:T36)</f>
        <v>6</v>
      </c>
    </row>
    <row r="38">
      <c r="A38" s="5" t="s">
        <v>40</v>
      </c>
      <c r="B38" s="8" t="s">
        <v>12</v>
      </c>
      <c r="C38" s="5" t="s">
        <v>13</v>
      </c>
      <c r="D38" s="9">
        <v>6.0</v>
      </c>
      <c r="E38" s="9">
        <v>9.0</v>
      </c>
      <c r="F38" s="9">
        <f t="shared" ref="F38:F41" si="36">DIVIDE(MINUS(D38,E38),SUM(D38:E38))</f>
        <v>-0.2</v>
      </c>
      <c r="G38" s="10" t="s">
        <v>14</v>
      </c>
      <c r="H38" s="11">
        <v>2.0</v>
      </c>
      <c r="I38" s="11">
        <v>1.0</v>
      </c>
      <c r="J38" s="13">
        <f t="shared" ref="J38:J41" si="37">DIVIDE(MINUS(H38,I38),SUM(H38:I38))</f>
        <v>0.3333333333</v>
      </c>
      <c r="K38" s="10" t="s">
        <v>15</v>
      </c>
      <c r="L38" s="11">
        <v>3.0</v>
      </c>
      <c r="M38" s="11">
        <v>0.0</v>
      </c>
      <c r="N38" s="13">
        <f t="shared" ref="N38:N41" si="38">DIVIDE(MINUS(L38,M38),SUM(L38:M38))</f>
        <v>1</v>
      </c>
      <c r="O38" s="10" t="s">
        <v>16</v>
      </c>
      <c r="P38" s="11">
        <v>5.0</v>
      </c>
      <c r="Q38" s="11">
        <v>0.0</v>
      </c>
      <c r="R38" s="13">
        <f t="shared" ref="R38:R41" si="39">DIVIDE(MINUS(P38,Q38),SUM(P38:Q38))</f>
        <v>1</v>
      </c>
      <c r="S38" s="10" t="s">
        <v>17</v>
      </c>
      <c r="T38" s="11">
        <v>8.0</v>
      </c>
      <c r="U38" s="11">
        <v>0.0</v>
      </c>
      <c r="V38" s="13">
        <f t="shared" ref="V38:V41" si="40">DIVIDE(MINUS(T38,U38),SUM(T38:U38))</f>
        <v>1</v>
      </c>
      <c r="X38" s="14">
        <f>AVERAGE(L38:L39)</f>
        <v>5.5</v>
      </c>
      <c r="AB38" s="14">
        <f>AVERAGE(P38:P39)</f>
        <v>6</v>
      </c>
    </row>
    <row r="39">
      <c r="C39" s="5" t="s">
        <v>18</v>
      </c>
      <c r="D39" s="9">
        <v>7.0</v>
      </c>
      <c r="E39" s="9">
        <v>7.0</v>
      </c>
      <c r="F39" s="9">
        <f t="shared" si="36"/>
        <v>0</v>
      </c>
      <c r="G39" s="10" t="s">
        <v>19</v>
      </c>
      <c r="H39" s="11">
        <v>8.0</v>
      </c>
      <c r="I39" s="11">
        <v>3.0</v>
      </c>
      <c r="J39" s="13">
        <f t="shared" si="37"/>
        <v>0.4545454545</v>
      </c>
      <c r="K39" s="10" t="s">
        <v>20</v>
      </c>
      <c r="L39" s="11">
        <v>8.0</v>
      </c>
      <c r="M39" s="11">
        <v>8.0</v>
      </c>
      <c r="N39" s="13">
        <f t="shared" si="38"/>
        <v>0</v>
      </c>
      <c r="O39" s="10" t="s">
        <v>21</v>
      </c>
      <c r="P39" s="11">
        <v>7.0</v>
      </c>
      <c r="Q39" s="11">
        <v>8.0</v>
      </c>
      <c r="R39" s="13">
        <f t="shared" si="39"/>
        <v>-0.06666666667</v>
      </c>
      <c r="S39" s="10" t="s">
        <v>22</v>
      </c>
      <c r="T39" s="11">
        <v>8.0</v>
      </c>
      <c r="U39" s="11">
        <v>2.0</v>
      </c>
      <c r="V39" s="13">
        <f t="shared" si="40"/>
        <v>0.6</v>
      </c>
    </row>
    <row r="40">
      <c r="C40" s="5" t="s">
        <v>23</v>
      </c>
      <c r="D40" s="9">
        <v>4.0</v>
      </c>
      <c r="E40" s="9">
        <v>3.0</v>
      </c>
      <c r="F40" s="9">
        <f t="shared" si="36"/>
        <v>0.1428571429</v>
      </c>
      <c r="G40" s="10" t="s">
        <v>24</v>
      </c>
      <c r="H40" s="11">
        <v>5.0</v>
      </c>
      <c r="I40" s="11">
        <v>5.0</v>
      </c>
      <c r="J40" s="13">
        <f t="shared" si="37"/>
        <v>0</v>
      </c>
      <c r="K40" s="10" t="s">
        <v>25</v>
      </c>
      <c r="L40" s="11">
        <v>8.0</v>
      </c>
      <c r="M40" s="11">
        <v>9.0</v>
      </c>
      <c r="N40" s="13">
        <f t="shared" si="38"/>
        <v>-0.05882352941</v>
      </c>
      <c r="O40" s="10" t="s">
        <v>26</v>
      </c>
      <c r="P40" s="11">
        <v>8.0</v>
      </c>
      <c r="Q40" s="11">
        <v>6.0</v>
      </c>
      <c r="R40" s="13">
        <f t="shared" si="39"/>
        <v>0.1428571429</v>
      </c>
      <c r="S40" s="10" t="s">
        <v>27</v>
      </c>
      <c r="T40" s="11">
        <v>6.0</v>
      </c>
      <c r="U40" s="11">
        <v>3.0</v>
      </c>
      <c r="V40" s="13">
        <f t="shared" si="40"/>
        <v>0.3333333333</v>
      </c>
      <c r="X40" s="14">
        <f>AVERAGE(L40:L41)</f>
        <v>8</v>
      </c>
      <c r="AB40" s="14">
        <f>AVERAGE(P40:P41)</f>
        <v>8</v>
      </c>
    </row>
    <row r="41">
      <c r="C41" s="5" t="s">
        <v>28</v>
      </c>
      <c r="D41" s="9">
        <v>8.0</v>
      </c>
      <c r="E41" s="9">
        <v>6.0</v>
      </c>
      <c r="F41" s="9">
        <f t="shared" si="36"/>
        <v>0.1428571429</v>
      </c>
      <c r="G41" s="10" t="s">
        <v>29</v>
      </c>
      <c r="H41" s="11">
        <v>5.0</v>
      </c>
      <c r="I41" s="11">
        <v>1.0</v>
      </c>
      <c r="J41" s="13">
        <f t="shared" si="37"/>
        <v>0.6666666667</v>
      </c>
      <c r="K41" s="10" t="s">
        <v>30</v>
      </c>
      <c r="L41" s="11">
        <v>8.0</v>
      </c>
      <c r="M41" s="11">
        <v>1.0</v>
      </c>
      <c r="N41" s="13">
        <f t="shared" si="38"/>
        <v>0.7777777778</v>
      </c>
      <c r="O41" s="10" t="s">
        <v>31</v>
      </c>
      <c r="P41" s="11">
        <v>8.0</v>
      </c>
      <c r="Q41" s="11">
        <v>1.0</v>
      </c>
      <c r="R41" s="13">
        <f t="shared" si="39"/>
        <v>0.7777777778</v>
      </c>
      <c r="S41" s="10" t="s">
        <v>32</v>
      </c>
      <c r="T41" s="11">
        <v>8.0</v>
      </c>
      <c r="U41" s="11">
        <v>6.0</v>
      </c>
      <c r="V41" s="13">
        <f t="shared" si="40"/>
        <v>0.1428571429</v>
      </c>
    </row>
    <row r="42">
      <c r="C42" s="15" t="s">
        <v>33</v>
      </c>
      <c r="F42" s="16">
        <f>AVERAGE(D38:D41)</f>
        <v>6.25</v>
      </c>
      <c r="G42" s="15" t="s">
        <v>33</v>
      </c>
      <c r="J42" s="16">
        <f>AVERAGE(H38:H41)</f>
        <v>5</v>
      </c>
      <c r="K42" s="15" t="s">
        <v>33</v>
      </c>
      <c r="N42" s="16">
        <f>AVERAGE(L38:L41)</f>
        <v>6.75</v>
      </c>
      <c r="O42" s="15" t="s">
        <v>33</v>
      </c>
      <c r="R42" s="16">
        <f>AVERAGE(P38:P41)</f>
        <v>7</v>
      </c>
      <c r="S42" s="15" t="s">
        <v>33</v>
      </c>
      <c r="V42" s="16">
        <f>AVERAGE(T38:T41)</f>
        <v>7.5</v>
      </c>
    </row>
    <row r="43">
      <c r="A43" s="5" t="s">
        <v>41</v>
      </c>
      <c r="B43" s="8" t="s">
        <v>12</v>
      </c>
      <c r="C43" s="5" t="s">
        <v>13</v>
      </c>
      <c r="D43" s="9">
        <v>7.0</v>
      </c>
      <c r="E43" s="9">
        <v>7.0</v>
      </c>
      <c r="F43" s="9">
        <f t="shared" ref="F43:F46" si="41">DIVIDE(MINUS(D43,E43),SUM(D43:E43))</f>
        <v>0</v>
      </c>
      <c r="G43" s="10" t="s">
        <v>14</v>
      </c>
      <c r="H43" s="11">
        <v>4.0</v>
      </c>
      <c r="I43" s="11">
        <v>0.0</v>
      </c>
      <c r="J43" s="13">
        <f t="shared" ref="J43:J46" si="42">DIVIDE(MINUS(H43,I43),SUM(H43:I43))</f>
        <v>1</v>
      </c>
      <c r="K43" s="10" t="s">
        <v>15</v>
      </c>
      <c r="L43" s="18">
        <v>0.0</v>
      </c>
      <c r="M43" s="11">
        <v>0.0</v>
      </c>
      <c r="N43" s="12">
        <v>0.0</v>
      </c>
      <c r="O43" s="10" t="s">
        <v>16</v>
      </c>
      <c r="P43" s="11">
        <v>7.0</v>
      </c>
      <c r="Q43" s="11">
        <v>4.0</v>
      </c>
      <c r="R43" s="13">
        <f t="shared" ref="R43:R46" si="43">DIVIDE(MINUS(P43,Q43),SUM(P43:Q43))</f>
        <v>0.2727272727</v>
      </c>
      <c r="S43" s="10" t="s">
        <v>17</v>
      </c>
      <c r="T43" s="11">
        <v>8.0</v>
      </c>
      <c r="U43" s="11">
        <v>1.0</v>
      </c>
      <c r="V43" s="13">
        <f t="shared" ref="V43:V46" si="44">DIVIDE(MINUS(T43,U43),SUM(T43:U43))</f>
        <v>0.7777777778</v>
      </c>
      <c r="X43" s="14">
        <f>AVERAGE(L43:L44)</f>
        <v>4</v>
      </c>
      <c r="AB43" s="14">
        <f>AVERAGE(P43:P44)</f>
        <v>7.5</v>
      </c>
    </row>
    <row r="44">
      <c r="C44" s="5" t="s">
        <v>18</v>
      </c>
      <c r="D44" s="9">
        <v>8.0</v>
      </c>
      <c r="E44" s="9">
        <v>5.0</v>
      </c>
      <c r="F44" s="9">
        <f t="shared" si="41"/>
        <v>0.2307692308</v>
      </c>
      <c r="G44" s="10" t="s">
        <v>19</v>
      </c>
      <c r="H44" s="11">
        <v>8.0</v>
      </c>
      <c r="I44" s="11">
        <v>0.0</v>
      </c>
      <c r="J44" s="13">
        <f t="shared" si="42"/>
        <v>1</v>
      </c>
      <c r="K44" s="10" t="s">
        <v>20</v>
      </c>
      <c r="L44" s="11">
        <v>8.0</v>
      </c>
      <c r="M44" s="11">
        <v>1.0</v>
      </c>
      <c r="N44" s="13">
        <f t="shared" ref="N44:N46" si="45">DIVIDE(MINUS(L44,M44),SUM(L44:M44))</f>
        <v>0.7777777778</v>
      </c>
      <c r="O44" s="10" t="s">
        <v>21</v>
      </c>
      <c r="P44" s="11">
        <v>8.0</v>
      </c>
      <c r="Q44" s="11">
        <v>12.0</v>
      </c>
      <c r="R44" s="13">
        <f t="shared" si="43"/>
        <v>-0.2</v>
      </c>
      <c r="S44" s="10" t="s">
        <v>22</v>
      </c>
      <c r="T44" s="11">
        <v>7.0</v>
      </c>
      <c r="U44" s="11">
        <v>9.0</v>
      </c>
      <c r="V44" s="13">
        <f t="shared" si="44"/>
        <v>-0.125</v>
      </c>
    </row>
    <row r="45">
      <c r="C45" s="5" t="s">
        <v>23</v>
      </c>
      <c r="D45" s="9">
        <v>8.0</v>
      </c>
      <c r="E45" s="9">
        <v>2.0</v>
      </c>
      <c r="F45" s="9">
        <f t="shared" si="41"/>
        <v>0.6</v>
      </c>
      <c r="G45" s="10" t="s">
        <v>24</v>
      </c>
      <c r="H45" s="11">
        <v>5.0</v>
      </c>
      <c r="I45" s="11">
        <v>2.0</v>
      </c>
      <c r="J45" s="13">
        <f t="shared" si="42"/>
        <v>0.4285714286</v>
      </c>
      <c r="K45" s="10" t="s">
        <v>25</v>
      </c>
      <c r="L45" s="11">
        <v>8.0</v>
      </c>
      <c r="M45" s="11">
        <v>6.0</v>
      </c>
      <c r="N45" s="13">
        <f t="shared" si="45"/>
        <v>0.1428571429</v>
      </c>
      <c r="O45" s="10" t="s">
        <v>26</v>
      </c>
      <c r="P45" s="11">
        <v>8.0</v>
      </c>
      <c r="Q45" s="11">
        <v>12.0</v>
      </c>
      <c r="R45" s="13">
        <f t="shared" si="43"/>
        <v>-0.2</v>
      </c>
      <c r="S45" s="10" t="s">
        <v>27</v>
      </c>
      <c r="T45" s="11">
        <v>7.0</v>
      </c>
      <c r="U45" s="11">
        <v>7.0</v>
      </c>
      <c r="V45" s="13">
        <f t="shared" si="44"/>
        <v>0</v>
      </c>
      <c r="X45" s="14">
        <f>AVERAGE(L45:L46)</f>
        <v>7.5</v>
      </c>
      <c r="AB45" s="14">
        <f>AVERAGE(P45:P46)</f>
        <v>8</v>
      </c>
    </row>
    <row r="46">
      <c r="C46" s="5" t="s">
        <v>28</v>
      </c>
      <c r="D46" s="9">
        <v>6.0</v>
      </c>
      <c r="E46" s="9">
        <v>3.0</v>
      </c>
      <c r="F46" s="9">
        <f t="shared" si="41"/>
        <v>0.3333333333</v>
      </c>
      <c r="G46" s="10" t="s">
        <v>29</v>
      </c>
      <c r="H46" s="11">
        <v>8.0</v>
      </c>
      <c r="I46" s="11">
        <v>4.0</v>
      </c>
      <c r="J46" s="13">
        <f t="shared" si="42"/>
        <v>0.3333333333</v>
      </c>
      <c r="K46" s="10" t="s">
        <v>30</v>
      </c>
      <c r="L46" s="11">
        <v>7.0</v>
      </c>
      <c r="M46" s="11">
        <v>14.0</v>
      </c>
      <c r="N46" s="13">
        <f t="shared" si="45"/>
        <v>-0.3333333333</v>
      </c>
      <c r="O46" s="10" t="s">
        <v>31</v>
      </c>
      <c r="P46" s="11">
        <v>8.0</v>
      </c>
      <c r="Q46" s="11">
        <v>2.0</v>
      </c>
      <c r="R46" s="13">
        <f t="shared" si="43"/>
        <v>0.6</v>
      </c>
      <c r="S46" s="10" t="s">
        <v>32</v>
      </c>
      <c r="T46" s="11">
        <v>8.0</v>
      </c>
      <c r="U46" s="11">
        <v>3.0</v>
      </c>
      <c r="V46" s="13">
        <f t="shared" si="44"/>
        <v>0.4545454545</v>
      </c>
    </row>
    <row r="47">
      <c r="C47" s="15" t="s">
        <v>33</v>
      </c>
      <c r="F47" s="16">
        <f>AVERAGE(D43:D46)</f>
        <v>7.25</v>
      </c>
      <c r="G47" s="15" t="s">
        <v>33</v>
      </c>
      <c r="J47" s="16">
        <f>AVERAGE(H43:H46)</f>
        <v>6.25</v>
      </c>
      <c r="K47" s="15" t="s">
        <v>33</v>
      </c>
      <c r="N47" s="16">
        <f>AVERAGE(L43:L46)</f>
        <v>5.75</v>
      </c>
      <c r="O47" s="15" t="s">
        <v>33</v>
      </c>
      <c r="R47" s="16">
        <f>AVERAGE(P43:P46)</f>
        <v>7.75</v>
      </c>
      <c r="S47" s="15" t="s">
        <v>33</v>
      </c>
      <c r="V47" s="16">
        <f>AVERAGE(T43:T46)</f>
        <v>7.5</v>
      </c>
    </row>
    <row r="48">
      <c r="A48" s="5" t="s">
        <v>42</v>
      </c>
      <c r="B48" s="8" t="s">
        <v>12</v>
      </c>
      <c r="C48" s="5" t="s">
        <v>13</v>
      </c>
      <c r="D48" s="9">
        <v>6.0</v>
      </c>
      <c r="E48" s="9">
        <v>5.0</v>
      </c>
      <c r="F48" s="9">
        <f t="shared" ref="F48:F51" si="46">DIVIDE(MINUS(D48,E48),SUM(D48:E48))</f>
        <v>0.09090909091</v>
      </c>
      <c r="G48" s="10" t="s">
        <v>14</v>
      </c>
      <c r="H48" s="11">
        <v>5.0</v>
      </c>
      <c r="I48" s="11">
        <v>4.0</v>
      </c>
      <c r="J48" s="13">
        <f t="shared" ref="J48:J51" si="47">DIVIDE(MINUS(H48,I48),SUM(H48:I48))</f>
        <v>0.1111111111</v>
      </c>
      <c r="K48" s="10" t="s">
        <v>15</v>
      </c>
      <c r="L48" s="11">
        <v>3.0</v>
      </c>
      <c r="M48" s="11">
        <v>0.0</v>
      </c>
      <c r="N48" s="13">
        <f t="shared" ref="N48:N51" si="48">DIVIDE(MINUS(L48,M48),SUM(L48:M48))</f>
        <v>1</v>
      </c>
      <c r="O48" s="10" t="s">
        <v>16</v>
      </c>
      <c r="P48" s="11">
        <v>7.0</v>
      </c>
      <c r="Q48" s="11">
        <v>6.0</v>
      </c>
      <c r="R48" s="13">
        <f t="shared" ref="R48:R51" si="49">DIVIDE(MINUS(P48,Q48),SUM(P48:Q48))</f>
        <v>0.07692307692</v>
      </c>
      <c r="S48" s="10" t="s">
        <v>17</v>
      </c>
      <c r="T48" s="11">
        <v>7.0</v>
      </c>
      <c r="U48" s="11">
        <v>16.0</v>
      </c>
      <c r="V48" s="13">
        <f t="shared" ref="V48:V51" si="50">DIVIDE(MINUS(T48,U48),SUM(T48:U48))</f>
        <v>-0.3913043478</v>
      </c>
      <c r="X48" s="14">
        <f>AVERAGE(L48:L49)</f>
        <v>5.5</v>
      </c>
      <c r="AB48" s="14">
        <f>AVERAGE(P48:P49)</f>
        <v>7.5</v>
      </c>
    </row>
    <row r="49">
      <c r="C49" s="5" t="s">
        <v>18</v>
      </c>
      <c r="D49" s="9">
        <v>6.0</v>
      </c>
      <c r="E49" s="9">
        <v>5.0</v>
      </c>
      <c r="F49" s="9">
        <f t="shared" si="46"/>
        <v>0.09090909091</v>
      </c>
      <c r="G49" s="10" t="s">
        <v>19</v>
      </c>
      <c r="H49" s="11">
        <v>8.0</v>
      </c>
      <c r="I49" s="11">
        <v>2.0</v>
      </c>
      <c r="J49" s="13">
        <f t="shared" si="47"/>
        <v>0.6</v>
      </c>
      <c r="K49" s="10" t="s">
        <v>20</v>
      </c>
      <c r="L49" s="11">
        <v>8.0</v>
      </c>
      <c r="M49" s="11">
        <v>4.0</v>
      </c>
      <c r="N49" s="13">
        <f t="shared" si="48"/>
        <v>0.3333333333</v>
      </c>
      <c r="O49" s="10" t="s">
        <v>21</v>
      </c>
      <c r="P49" s="11">
        <v>8.0</v>
      </c>
      <c r="Q49" s="11">
        <v>12.0</v>
      </c>
      <c r="R49" s="13">
        <f t="shared" si="49"/>
        <v>-0.2</v>
      </c>
      <c r="S49" s="10" t="s">
        <v>22</v>
      </c>
      <c r="T49" s="11">
        <v>7.0</v>
      </c>
      <c r="U49" s="11">
        <v>7.0</v>
      </c>
      <c r="V49" s="13">
        <f t="shared" si="50"/>
        <v>0</v>
      </c>
    </row>
    <row r="50">
      <c r="C50" s="5" t="s">
        <v>23</v>
      </c>
      <c r="D50" s="9">
        <v>8.0</v>
      </c>
      <c r="E50" s="9">
        <v>4.0</v>
      </c>
      <c r="F50" s="9">
        <f t="shared" si="46"/>
        <v>0.3333333333</v>
      </c>
      <c r="G50" s="10" t="s">
        <v>24</v>
      </c>
      <c r="H50" s="11">
        <v>8.0</v>
      </c>
      <c r="I50" s="11">
        <v>3.0</v>
      </c>
      <c r="J50" s="13">
        <f t="shared" si="47"/>
        <v>0.4545454545</v>
      </c>
      <c r="K50" s="10" t="s">
        <v>25</v>
      </c>
      <c r="L50" s="11">
        <v>8.0</v>
      </c>
      <c r="M50" s="11">
        <v>6.0</v>
      </c>
      <c r="N50" s="13">
        <f t="shared" si="48"/>
        <v>0.1428571429</v>
      </c>
      <c r="O50" s="10" t="s">
        <v>26</v>
      </c>
      <c r="P50" s="11">
        <v>8.0</v>
      </c>
      <c r="Q50" s="11">
        <v>15.0</v>
      </c>
      <c r="R50" s="13">
        <f t="shared" si="49"/>
        <v>-0.3043478261</v>
      </c>
      <c r="S50" s="10" t="s">
        <v>27</v>
      </c>
      <c r="T50" s="11">
        <v>7.0</v>
      </c>
      <c r="U50" s="11">
        <v>12.0</v>
      </c>
      <c r="V50" s="13">
        <f t="shared" si="50"/>
        <v>-0.2631578947</v>
      </c>
      <c r="X50" s="14">
        <f>AVERAGE(L50:L51)</f>
        <v>8</v>
      </c>
      <c r="AB50" s="14">
        <f>AVERAGE(P50:P51)</f>
        <v>8</v>
      </c>
    </row>
    <row r="51">
      <c r="C51" s="5" t="s">
        <v>28</v>
      </c>
      <c r="D51" s="9">
        <v>8.0</v>
      </c>
      <c r="E51" s="9">
        <v>7.0</v>
      </c>
      <c r="F51" s="9">
        <f t="shared" si="46"/>
        <v>0.06666666667</v>
      </c>
      <c r="G51" s="10" t="s">
        <v>29</v>
      </c>
      <c r="H51" s="11">
        <v>8.0</v>
      </c>
      <c r="I51" s="11">
        <v>6.0</v>
      </c>
      <c r="J51" s="13">
        <f t="shared" si="47"/>
        <v>0.1428571429</v>
      </c>
      <c r="K51" s="10" t="s">
        <v>30</v>
      </c>
      <c r="L51" s="11">
        <v>8.0</v>
      </c>
      <c r="M51" s="11">
        <v>9.0</v>
      </c>
      <c r="N51" s="13">
        <f t="shared" si="48"/>
        <v>-0.05882352941</v>
      </c>
      <c r="O51" s="10" t="s">
        <v>31</v>
      </c>
      <c r="P51" s="11">
        <v>8.0</v>
      </c>
      <c r="Q51" s="11">
        <v>8.0</v>
      </c>
      <c r="R51" s="13">
        <f t="shared" si="49"/>
        <v>0</v>
      </c>
      <c r="S51" s="10" t="s">
        <v>32</v>
      </c>
      <c r="T51" s="11">
        <v>7.0</v>
      </c>
      <c r="U51" s="11">
        <v>13.0</v>
      </c>
      <c r="V51" s="13">
        <f t="shared" si="50"/>
        <v>-0.3</v>
      </c>
    </row>
    <row r="52">
      <c r="C52" s="15" t="s">
        <v>33</v>
      </c>
      <c r="F52" s="16">
        <f>AVERAGE(D48:D51)</f>
        <v>7</v>
      </c>
      <c r="G52" s="15" t="s">
        <v>33</v>
      </c>
      <c r="J52" s="16">
        <f>AVERAGE(H48:H51)</f>
        <v>7.25</v>
      </c>
      <c r="K52" s="15" t="s">
        <v>33</v>
      </c>
      <c r="N52" s="16">
        <f>AVERAGE(L48:L51)</f>
        <v>6.75</v>
      </c>
      <c r="O52" s="15" t="s">
        <v>33</v>
      </c>
      <c r="R52" s="16">
        <f>AVERAGE(P48:P51)</f>
        <v>7.75</v>
      </c>
      <c r="S52" s="15" t="s">
        <v>33</v>
      </c>
      <c r="V52" s="16">
        <f>AVERAGE(T48:T51)</f>
        <v>7</v>
      </c>
    </row>
    <row r="53">
      <c r="A53" s="4" t="s">
        <v>43</v>
      </c>
      <c r="B53" s="8" t="s">
        <v>12</v>
      </c>
      <c r="C53" s="5" t="s">
        <v>13</v>
      </c>
      <c r="D53" s="9">
        <v>8.0</v>
      </c>
      <c r="E53" s="9">
        <v>16.0</v>
      </c>
      <c r="F53" s="9">
        <f t="shared" ref="F53:F56" si="51">DIVIDE(MINUS(D53,E53),SUM(D53:E53))</f>
        <v>-0.3333333333</v>
      </c>
      <c r="G53" s="10" t="s">
        <v>14</v>
      </c>
      <c r="H53" s="11">
        <v>6.0</v>
      </c>
      <c r="I53" s="11">
        <v>1.0</v>
      </c>
      <c r="J53" s="13">
        <f t="shared" ref="J53:J54" si="52">DIVIDE(MINUS(H52,I53),SUM(H53:I53))</f>
        <v>-0.1428571429</v>
      </c>
      <c r="K53" s="10" t="s">
        <v>15</v>
      </c>
      <c r="L53" s="11">
        <v>0.0</v>
      </c>
      <c r="M53" s="11">
        <v>0.0</v>
      </c>
      <c r="N53" s="12">
        <v>0.0</v>
      </c>
      <c r="O53" s="10" t="s">
        <v>16</v>
      </c>
      <c r="P53" s="11">
        <v>3.0</v>
      </c>
      <c r="Q53" s="11">
        <v>0.0</v>
      </c>
      <c r="R53" s="13">
        <f t="shared" ref="R53:R56" si="53">DIVIDE(MINUS(P53,Q53),SUM(P53:Q53))</f>
        <v>1</v>
      </c>
      <c r="S53" s="10" t="s">
        <v>17</v>
      </c>
      <c r="T53" s="11">
        <v>5.0</v>
      </c>
      <c r="U53" s="11">
        <v>3.0</v>
      </c>
      <c r="V53" s="13">
        <f t="shared" ref="V53:V56" si="54">DIVIDE(MINUS(T53,U53),SUM(T53:U53))</f>
        <v>0.25</v>
      </c>
      <c r="X53" s="14">
        <f>AVERAGE(L53:L54)</f>
        <v>4</v>
      </c>
      <c r="AB53" s="14">
        <f>AVERAGE(P53:P54)</f>
        <v>4.5</v>
      </c>
    </row>
    <row r="54">
      <c r="C54" s="5" t="s">
        <v>18</v>
      </c>
      <c r="D54" s="9">
        <v>8.0</v>
      </c>
      <c r="E54" s="9">
        <v>3.0</v>
      </c>
      <c r="F54" s="9">
        <f t="shared" si="51"/>
        <v>0.4545454545</v>
      </c>
      <c r="G54" s="10" t="s">
        <v>19</v>
      </c>
      <c r="H54" s="18">
        <v>6.0</v>
      </c>
      <c r="I54" s="11">
        <v>14.0</v>
      </c>
      <c r="J54" s="13">
        <f t="shared" si="52"/>
        <v>-0.4</v>
      </c>
      <c r="K54" s="10" t="s">
        <v>20</v>
      </c>
      <c r="L54" s="11">
        <v>8.0</v>
      </c>
      <c r="M54" s="11">
        <v>6.0</v>
      </c>
      <c r="N54" s="13">
        <f t="shared" ref="N54:N56" si="55">DIVIDE(MINUS(L54,M54),SUM(L54:M54))</f>
        <v>0.1428571429</v>
      </c>
      <c r="O54" s="10" t="s">
        <v>21</v>
      </c>
      <c r="P54" s="11">
        <v>6.0</v>
      </c>
      <c r="Q54" s="11">
        <v>2.0</v>
      </c>
      <c r="R54" s="13">
        <f t="shared" si="53"/>
        <v>0.5</v>
      </c>
      <c r="S54" s="10" t="s">
        <v>22</v>
      </c>
      <c r="T54" s="11">
        <v>4.0</v>
      </c>
      <c r="U54" s="11">
        <v>0.0</v>
      </c>
      <c r="V54" s="13">
        <f t="shared" si="54"/>
        <v>1</v>
      </c>
    </row>
    <row r="55">
      <c r="C55" s="5" t="s">
        <v>23</v>
      </c>
      <c r="D55" s="9">
        <v>8.0</v>
      </c>
      <c r="E55" s="9">
        <v>9.0</v>
      </c>
      <c r="F55" s="9">
        <f t="shared" si="51"/>
        <v>-0.05882352941</v>
      </c>
      <c r="G55" s="10" t="s">
        <v>24</v>
      </c>
      <c r="H55" s="11">
        <v>3.0</v>
      </c>
      <c r="I55" s="11">
        <v>1.0</v>
      </c>
      <c r="J55" s="13">
        <f t="shared" ref="J55:J56" si="56">DIVIDE(MINUS(H55,I55),SUM(H55:I55))</f>
        <v>0.5</v>
      </c>
      <c r="K55" s="10" t="s">
        <v>25</v>
      </c>
      <c r="L55" s="11">
        <v>7.0</v>
      </c>
      <c r="M55" s="11">
        <v>22.0</v>
      </c>
      <c r="N55" s="13">
        <f t="shared" si="55"/>
        <v>-0.5172413793</v>
      </c>
      <c r="O55" s="10" t="s">
        <v>26</v>
      </c>
      <c r="P55" s="11">
        <v>7.0</v>
      </c>
      <c r="Q55" s="11">
        <v>9.0</v>
      </c>
      <c r="R55" s="13">
        <f t="shared" si="53"/>
        <v>-0.125</v>
      </c>
      <c r="S55" s="10" t="s">
        <v>27</v>
      </c>
      <c r="T55" s="11">
        <v>8.0</v>
      </c>
      <c r="U55" s="11">
        <v>9.0</v>
      </c>
      <c r="V55" s="13">
        <f t="shared" si="54"/>
        <v>-0.05882352941</v>
      </c>
      <c r="X55" s="14">
        <f>AVERAGE(L55:L56)</f>
        <v>7.5</v>
      </c>
      <c r="AB55" s="14">
        <f>AVERAGE(P55:P56)</f>
        <v>7.5</v>
      </c>
    </row>
    <row r="56">
      <c r="C56" s="5" t="s">
        <v>28</v>
      </c>
      <c r="D56" s="9">
        <v>7.0</v>
      </c>
      <c r="E56" s="9">
        <v>8.0</v>
      </c>
      <c r="F56" s="9">
        <f t="shared" si="51"/>
        <v>-0.06666666667</v>
      </c>
      <c r="G56" s="10" t="s">
        <v>29</v>
      </c>
      <c r="H56" s="11">
        <v>7.0</v>
      </c>
      <c r="I56" s="11">
        <v>7.0</v>
      </c>
      <c r="J56" s="13">
        <f t="shared" si="56"/>
        <v>0</v>
      </c>
      <c r="K56" s="10" t="s">
        <v>30</v>
      </c>
      <c r="L56" s="11">
        <v>8.0</v>
      </c>
      <c r="M56" s="11">
        <v>4.0</v>
      </c>
      <c r="N56" s="13">
        <f t="shared" si="55"/>
        <v>0.3333333333</v>
      </c>
      <c r="O56" s="10" t="s">
        <v>31</v>
      </c>
      <c r="P56" s="11">
        <v>8.0</v>
      </c>
      <c r="Q56" s="11">
        <v>10.0</v>
      </c>
      <c r="R56" s="13">
        <f t="shared" si="53"/>
        <v>-0.1111111111</v>
      </c>
      <c r="S56" s="10" t="s">
        <v>32</v>
      </c>
      <c r="T56" s="11">
        <v>7.0</v>
      </c>
      <c r="U56" s="11">
        <v>7.0</v>
      </c>
      <c r="V56" s="13">
        <f t="shared" si="54"/>
        <v>0</v>
      </c>
    </row>
    <row r="57">
      <c r="C57" s="15" t="s">
        <v>33</v>
      </c>
      <c r="F57" s="16">
        <f>AVERAGE(D53:D56)</f>
        <v>7.75</v>
      </c>
      <c r="G57" s="15" t="s">
        <v>33</v>
      </c>
      <c r="J57" s="16">
        <f>AVERAGE(H53:H56)</f>
        <v>5.5</v>
      </c>
      <c r="K57" s="15" t="s">
        <v>33</v>
      </c>
      <c r="N57" s="16">
        <f>AVERAGE(L53:L56)</f>
        <v>5.75</v>
      </c>
      <c r="O57" s="15" t="s">
        <v>33</v>
      </c>
      <c r="R57" s="16">
        <f>AVERAGE(P53:P56)</f>
        <v>6</v>
      </c>
      <c r="S57" s="15" t="s">
        <v>33</v>
      </c>
      <c r="V57" s="16">
        <f>AVERAGE(T53:T56)</f>
        <v>6</v>
      </c>
    </row>
    <row r="58">
      <c r="A58" s="4" t="s">
        <v>44</v>
      </c>
      <c r="B58" s="8" t="s">
        <v>12</v>
      </c>
      <c r="C58" s="5" t="s">
        <v>13</v>
      </c>
      <c r="D58" s="9">
        <v>8.0</v>
      </c>
      <c r="E58" s="9">
        <v>6.0</v>
      </c>
      <c r="F58" s="9">
        <f t="shared" ref="F58:F61" si="57">DIVIDE(MINUS(D58,E58),SUM(D58:E58))</f>
        <v>0.1428571429</v>
      </c>
      <c r="G58" s="10" t="s">
        <v>14</v>
      </c>
      <c r="H58" s="11">
        <v>6.0</v>
      </c>
      <c r="I58" s="11">
        <v>8.0</v>
      </c>
      <c r="J58" s="13">
        <f t="shared" ref="J58:J61" si="58">DIVIDE(MINUS(H58,I58),SUM(H58:I58))</f>
        <v>-0.1428571429</v>
      </c>
      <c r="K58" s="10" t="s">
        <v>15</v>
      </c>
      <c r="L58" s="17"/>
      <c r="M58" s="17"/>
      <c r="N58" s="13" t="str">
        <f t="shared" ref="N58:N61" si="59">DIVIDE(MINUS(L58,M58),SUM(L58:M58))</f>
        <v>#DIV/0!</v>
      </c>
      <c r="O58" s="10" t="s">
        <v>16</v>
      </c>
      <c r="P58" s="17"/>
      <c r="Q58" s="17"/>
      <c r="R58" s="13" t="str">
        <f t="shared" ref="R58:R61" si="60">DIVIDE(MINUS(P58,Q58),SUM(P58:Q58))</f>
        <v>#DIV/0!</v>
      </c>
      <c r="S58" s="10" t="s">
        <v>17</v>
      </c>
      <c r="T58" s="11">
        <v>7.0</v>
      </c>
      <c r="U58" s="11">
        <v>10.0</v>
      </c>
      <c r="V58" s="13">
        <f t="shared" ref="V58:V61" si="61">DIVIDE(MINUS(T58,U58),SUM(T58:U58))</f>
        <v>-0.1764705882</v>
      </c>
      <c r="X58" s="14" t="str">
        <f>AVERAGE(N58:N59)</f>
        <v>#DIV/0!</v>
      </c>
      <c r="AB58" s="14" t="str">
        <f>AVERAGE(R58:R59)</f>
        <v>#DIV/0!</v>
      </c>
    </row>
    <row r="59">
      <c r="C59" s="5" t="s">
        <v>18</v>
      </c>
      <c r="D59" s="9">
        <v>5.0</v>
      </c>
      <c r="E59" s="9">
        <v>2.0</v>
      </c>
      <c r="F59" s="9">
        <f t="shared" si="57"/>
        <v>0.4285714286</v>
      </c>
      <c r="G59" s="10" t="s">
        <v>19</v>
      </c>
      <c r="H59" s="11">
        <v>7.0</v>
      </c>
      <c r="I59" s="11">
        <v>19.0</v>
      </c>
      <c r="J59" s="13">
        <f t="shared" si="58"/>
        <v>-0.4615384615</v>
      </c>
      <c r="K59" s="10" t="s">
        <v>20</v>
      </c>
      <c r="L59" s="17"/>
      <c r="M59" s="17"/>
      <c r="N59" s="13" t="str">
        <f t="shared" si="59"/>
        <v>#DIV/0!</v>
      </c>
      <c r="O59" s="10" t="s">
        <v>21</v>
      </c>
      <c r="P59" s="17"/>
      <c r="Q59" s="17"/>
      <c r="R59" s="13" t="str">
        <f t="shared" si="60"/>
        <v>#DIV/0!</v>
      </c>
      <c r="S59" s="10" t="s">
        <v>22</v>
      </c>
      <c r="T59" s="11">
        <v>8.0</v>
      </c>
      <c r="U59" s="11">
        <v>2.0</v>
      </c>
      <c r="V59" s="13">
        <f t="shared" si="61"/>
        <v>0.6</v>
      </c>
    </row>
    <row r="60">
      <c r="C60" s="5" t="s">
        <v>23</v>
      </c>
      <c r="D60" s="9">
        <v>8.0</v>
      </c>
      <c r="E60" s="9">
        <v>4.0</v>
      </c>
      <c r="F60" s="9">
        <f t="shared" si="57"/>
        <v>0.3333333333</v>
      </c>
      <c r="G60" s="10" t="s">
        <v>24</v>
      </c>
      <c r="H60" s="11">
        <v>4.0</v>
      </c>
      <c r="I60" s="11">
        <v>1.0</v>
      </c>
      <c r="J60" s="13">
        <f t="shared" si="58"/>
        <v>0.6</v>
      </c>
      <c r="K60" s="10" t="s">
        <v>25</v>
      </c>
      <c r="L60" s="11">
        <v>8.0</v>
      </c>
      <c r="M60" s="11">
        <v>4.0</v>
      </c>
      <c r="N60" s="13">
        <f t="shared" si="59"/>
        <v>0.3333333333</v>
      </c>
      <c r="O60" s="10" t="s">
        <v>26</v>
      </c>
      <c r="P60" s="17"/>
      <c r="Q60" s="17"/>
      <c r="R60" s="13" t="str">
        <f t="shared" si="60"/>
        <v>#DIV/0!</v>
      </c>
      <c r="S60" s="10" t="s">
        <v>27</v>
      </c>
      <c r="T60" s="11">
        <v>7.0</v>
      </c>
      <c r="U60" s="11">
        <v>18.0</v>
      </c>
      <c r="V60" s="13">
        <f t="shared" si="61"/>
        <v>-0.44</v>
      </c>
      <c r="X60" s="14">
        <f>AVERAGE(L60:L61)</f>
        <v>8</v>
      </c>
      <c r="AB60" s="14">
        <f>AVERAGE(P60:P61)</f>
        <v>8</v>
      </c>
    </row>
    <row r="61">
      <c r="C61" s="5" t="s">
        <v>28</v>
      </c>
      <c r="D61" s="9">
        <v>8.0</v>
      </c>
      <c r="E61" s="9">
        <v>9.0</v>
      </c>
      <c r="F61" s="9">
        <f t="shared" si="57"/>
        <v>-0.05882352941</v>
      </c>
      <c r="G61" s="10" t="s">
        <v>29</v>
      </c>
      <c r="H61" s="11">
        <v>8.0</v>
      </c>
      <c r="I61" s="11">
        <v>5.0</v>
      </c>
      <c r="J61" s="13">
        <f t="shared" si="58"/>
        <v>0.2307692308</v>
      </c>
      <c r="K61" s="10" t="s">
        <v>30</v>
      </c>
      <c r="L61" s="11">
        <v>8.0</v>
      </c>
      <c r="M61" s="11">
        <v>1.0</v>
      </c>
      <c r="N61" s="13">
        <f t="shared" si="59"/>
        <v>0.7777777778</v>
      </c>
      <c r="O61" s="10" t="s">
        <v>31</v>
      </c>
      <c r="P61" s="11">
        <v>8.0</v>
      </c>
      <c r="Q61" s="11">
        <v>5.0</v>
      </c>
      <c r="R61" s="13">
        <f t="shared" si="60"/>
        <v>0.2307692308</v>
      </c>
      <c r="S61" s="10" t="s">
        <v>32</v>
      </c>
      <c r="T61" s="11">
        <v>8.0</v>
      </c>
      <c r="U61" s="11">
        <v>8.0</v>
      </c>
      <c r="V61" s="13">
        <f t="shared" si="61"/>
        <v>0</v>
      </c>
    </row>
    <row r="62">
      <c r="C62" s="15" t="s">
        <v>33</v>
      </c>
      <c r="F62" s="16">
        <f>AVERAGE(D58:D61)</f>
        <v>7.25</v>
      </c>
      <c r="G62" s="15" t="s">
        <v>33</v>
      </c>
      <c r="J62" s="16">
        <f>AVERAGE(H58:H61)</f>
        <v>6.25</v>
      </c>
      <c r="K62" s="15" t="s">
        <v>33</v>
      </c>
      <c r="N62" s="16" t="str">
        <f>AVERAGE(N58:N61)</f>
        <v>#DIV/0!</v>
      </c>
      <c r="O62" s="15" t="s">
        <v>33</v>
      </c>
      <c r="R62" s="16" t="str">
        <f>AVERAGE(R58:R61)</f>
        <v>#DIV/0!</v>
      </c>
      <c r="S62" s="15" t="s">
        <v>33</v>
      </c>
      <c r="V62" s="16">
        <f>AVERAGE(T58:T61)</f>
        <v>7.5</v>
      </c>
    </row>
    <row r="63">
      <c r="A63" s="4" t="s">
        <v>45</v>
      </c>
      <c r="B63" s="8" t="s">
        <v>12</v>
      </c>
      <c r="C63" s="5" t="s">
        <v>13</v>
      </c>
      <c r="D63" s="9">
        <v>8.0</v>
      </c>
      <c r="E63" s="9">
        <v>3.0</v>
      </c>
      <c r="F63" s="9">
        <f t="shared" ref="F63:F66" si="62">DIVIDE(MINUS(D63,E63),SUM(D63:E63))</f>
        <v>0.4545454545</v>
      </c>
      <c r="G63" s="10" t="s">
        <v>14</v>
      </c>
      <c r="H63" s="11">
        <v>8.0</v>
      </c>
      <c r="I63" s="11">
        <v>2.0</v>
      </c>
      <c r="J63" s="13">
        <f t="shared" ref="J63:J66" si="63">DIVIDE(MINUS(H63,I63),SUM(H63:I63))</f>
        <v>0.6</v>
      </c>
      <c r="K63" s="10" t="s">
        <v>15</v>
      </c>
      <c r="L63" s="17"/>
      <c r="M63" s="17"/>
      <c r="N63" s="13" t="str">
        <f t="shared" ref="N63:N66" si="64">DIVIDE(MINUS(L63,M63),SUM(L63:M63))</f>
        <v>#DIV/0!</v>
      </c>
      <c r="O63" s="10" t="s">
        <v>16</v>
      </c>
      <c r="P63" s="17"/>
      <c r="Q63" s="17"/>
      <c r="R63" s="13" t="str">
        <f t="shared" ref="R63:R66" si="65">DIVIDE(MINUS(P63,Q63),SUM(P63:Q63))</f>
        <v>#DIV/0!</v>
      </c>
      <c r="S63" s="10" t="s">
        <v>17</v>
      </c>
      <c r="T63" s="11">
        <v>7.0</v>
      </c>
      <c r="U63" s="17"/>
      <c r="V63" s="13">
        <f t="shared" ref="V63:V66" si="66">DIVIDE(MINUS(T63,U63),SUM(T63:U63))</f>
        <v>1</v>
      </c>
    </row>
    <row r="64">
      <c r="C64" s="5" t="s">
        <v>18</v>
      </c>
      <c r="D64" s="9">
        <v>8.0</v>
      </c>
      <c r="E64" s="9">
        <v>5.0</v>
      </c>
      <c r="F64" s="9">
        <f t="shared" si="62"/>
        <v>0.2307692308</v>
      </c>
      <c r="G64" s="10" t="s">
        <v>19</v>
      </c>
      <c r="H64" s="11">
        <v>8.0</v>
      </c>
      <c r="I64" s="11">
        <v>3.0</v>
      </c>
      <c r="J64" s="13">
        <f t="shared" si="63"/>
        <v>0.4545454545</v>
      </c>
      <c r="K64" s="10" t="s">
        <v>20</v>
      </c>
      <c r="L64" s="17"/>
      <c r="M64" s="17"/>
      <c r="N64" s="13" t="str">
        <f t="shared" si="64"/>
        <v>#DIV/0!</v>
      </c>
      <c r="O64" s="10" t="s">
        <v>21</v>
      </c>
      <c r="P64" s="17"/>
      <c r="Q64" s="17"/>
      <c r="R64" s="13" t="str">
        <f t="shared" si="65"/>
        <v>#DIV/0!</v>
      </c>
      <c r="S64" s="10" t="s">
        <v>22</v>
      </c>
      <c r="T64" s="11">
        <v>8.0</v>
      </c>
      <c r="U64" s="11">
        <v>7.0</v>
      </c>
      <c r="V64" s="13">
        <f t="shared" si="66"/>
        <v>0.06666666667</v>
      </c>
    </row>
    <row r="65">
      <c r="C65" s="5" t="s">
        <v>23</v>
      </c>
      <c r="D65" s="9">
        <v>8.0</v>
      </c>
      <c r="E65" s="9">
        <v>6.0</v>
      </c>
      <c r="F65" s="9">
        <f t="shared" si="62"/>
        <v>0.1428571429</v>
      </c>
      <c r="G65" s="10" t="s">
        <v>24</v>
      </c>
      <c r="H65" s="11">
        <v>5.0</v>
      </c>
      <c r="I65" s="11">
        <v>3.0</v>
      </c>
      <c r="J65" s="13">
        <f t="shared" si="63"/>
        <v>0.25</v>
      </c>
      <c r="K65" s="10" t="s">
        <v>25</v>
      </c>
      <c r="L65" s="17"/>
      <c r="M65" s="17"/>
      <c r="N65" s="13" t="str">
        <f t="shared" si="64"/>
        <v>#DIV/0!</v>
      </c>
      <c r="O65" s="10" t="s">
        <v>26</v>
      </c>
      <c r="P65" s="17"/>
      <c r="Q65" s="17"/>
      <c r="R65" s="13" t="str">
        <f t="shared" si="65"/>
        <v>#DIV/0!</v>
      </c>
      <c r="S65" s="10" t="s">
        <v>27</v>
      </c>
      <c r="T65" s="11">
        <v>7.0</v>
      </c>
      <c r="U65" s="11">
        <v>16.0</v>
      </c>
      <c r="V65" s="13">
        <f t="shared" si="66"/>
        <v>-0.3913043478</v>
      </c>
    </row>
    <row r="66">
      <c r="C66" s="5" t="s">
        <v>28</v>
      </c>
      <c r="D66" s="9">
        <v>8.0</v>
      </c>
      <c r="E66" s="9">
        <v>7.0</v>
      </c>
      <c r="F66" s="9">
        <f t="shared" si="62"/>
        <v>0.06666666667</v>
      </c>
      <c r="G66" s="10" t="s">
        <v>29</v>
      </c>
      <c r="H66" s="11">
        <v>8.0</v>
      </c>
      <c r="I66" s="11">
        <v>9.0</v>
      </c>
      <c r="J66" s="13">
        <f t="shared" si="63"/>
        <v>-0.05882352941</v>
      </c>
      <c r="K66" s="10" t="s">
        <v>30</v>
      </c>
      <c r="L66" s="17"/>
      <c r="M66" s="17"/>
      <c r="N66" s="13" t="str">
        <f t="shared" si="64"/>
        <v>#DIV/0!</v>
      </c>
      <c r="O66" s="10" t="s">
        <v>31</v>
      </c>
      <c r="P66" s="17"/>
      <c r="Q66" s="17"/>
      <c r="R66" s="13" t="str">
        <f t="shared" si="65"/>
        <v>#DIV/0!</v>
      </c>
      <c r="S66" s="10" t="s">
        <v>32</v>
      </c>
      <c r="T66" s="11">
        <v>8.0</v>
      </c>
      <c r="U66" s="11">
        <v>5.0</v>
      </c>
      <c r="V66" s="13">
        <f t="shared" si="66"/>
        <v>0.2307692308</v>
      </c>
    </row>
    <row r="67">
      <c r="C67" s="15" t="s">
        <v>33</v>
      </c>
      <c r="F67" s="16">
        <f>AVERAGE(D63:D66)</f>
        <v>8</v>
      </c>
      <c r="G67" s="15" t="s">
        <v>33</v>
      </c>
      <c r="J67" s="16">
        <f>AVERAGE(H63:H66)</f>
        <v>7.25</v>
      </c>
      <c r="K67" s="15" t="s">
        <v>33</v>
      </c>
      <c r="N67" s="16" t="str">
        <f>AVERAGE(N63:N66)</f>
        <v>#DIV/0!</v>
      </c>
      <c r="O67" s="15" t="s">
        <v>33</v>
      </c>
      <c r="R67" s="16" t="str">
        <f>AVERAGE(R63:R66)</f>
        <v>#DIV/0!</v>
      </c>
      <c r="S67" s="15" t="s">
        <v>33</v>
      </c>
      <c r="V67" s="16">
        <f>AVERAGE(T63:T66)</f>
        <v>7.5</v>
      </c>
    </row>
    <row r="68">
      <c r="A68" s="4" t="s">
        <v>46</v>
      </c>
      <c r="B68" s="8" t="s">
        <v>12</v>
      </c>
      <c r="C68" s="5" t="s">
        <v>13</v>
      </c>
      <c r="D68" s="9">
        <v>8.0</v>
      </c>
      <c r="E68" s="9">
        <v>10.0</v>
      </c>
      <c r="F68" s="9">
        <f t="shared" ref="F68:F71" si="67">DIVIDE(MINUS(D68,E68),SUM(D68:E68))</f>
        <v>-0.1111111111</v>
      </c>
      <c r="G68" s="10" t="s">
        <v>14</v>
      </c>
      <c r="H68" s="11">
        <v>7.0</v>
      </c>
      <c r="I68" s="11">
        <v>3.0</v>
      </c>
      <c r="J68" s="13">
        <f t="shared" ref="J68:J71" si="68">DIVIDE(MINUS(H68,I68),SUM(H68:I68))</f>
        <v>0.4</v>
      </c>
      <c r="K68" s="10" t="s">
        <v>15</v>
      </c>
      <c r="L68" s="17"/>
      <c r="M68" s="17"/>
      <c r="N68" s="13" t="str">
        <f t="shared" ref="N68:N71" si="69">DIVIDE(MINUS(L68,M68),SUM(L68:M68))</f>
        <v>#DIV/0!</v>
      </c>
      <c r="O68" s="10" t="s">
        <v>16</v>
      </c>
      <c r="P68" s="17"/>
      <c r="Q68" s="17"/>
      <c r="R68" s="13" t="str">
        <f t="shared" ref="R68:R71" si="70">DIVIDE(MINUS(P68,Q68),SUM(P68:Q68))</f>
        <v>#DIV/0!</v>
      </c>
      <c r="S68" s="10" t="s">
        <v>17</v>
      </c>
      <c r="T68" s="11">
        <v>8.0</v>
      </c>
      <c r="U68" s="11">
        <v>4.0</v>
      </c>
      <c r="V68" s="13">
        <f t="shared" ref="V68:V71" si="71">DIVIDE(MINUS(T68,U68),SUM(T68:U68))</f>
        <v>0.3333333333</v>
      </c>
    </row>
    <row r="69">
      <c r="C69" s="5" t="s">
        <v>18</v>
      </c>
      <c r="D69" s="9">
        <v>8.0</v>
      </c>
      <c r="E69" s="9">
        <v>2.0</v>
      </c>
      <c r="F69" s="9">
        <f t="shared" si="67"/>
        <v>0.6</v>
      </c>
      <c r="G69" s="10" t="s">
        <v>19</v>
      </c>
      <c r="H69" s="11">
        <v>8.0</v>
      </c>
      <c r="I69" s="11">
        <v>7.0</v>
      </c>
      <c r="J69" s="13">
        <f t="shared" si="68"/>
        <v>0.06666666667</v>
      </c>
      <c r="K69" s="10" t="s">
        <v>20</v>
      </c>
      <c r="L69" s="17"/>
      <c r="M69" s="17"/>
      <c r="N69" s="13" t="str">
        <f t="shared" si="69"/>
        <v>#DIV/0!</v>
      </c>
      <c r="O69" s="10" t="s">
        <v>21</v>
      </c>
      <c r="P69" s="17"/>
      <c r="Q69" s="17"/>
      <c r="R69" s="13" t="str">
        <f t="shared" si="70"/>
        <v>#DIV/0!</v>
      </c>
      <c r="S69" s="10" t="s">
        <v>22</v>
      </c>
      <c r="T69" s="11">
        <v>8.0</v>
      </c>
      <c r="U69" s="11">
        <v>4.0</v>
      </c>
      <c r="V69" s="13">
        <f t="shared" si="71"/>
        <v>0.3333333333</v>
      </c>
    </row>
    <row r="70">
      <c r="C70" s="5" t="s">
        <v>23</v>
      </c>
      <c r="D70" s="9">
        <v>8.0</v>
      </c>
      <c r="E70" s="9">
        <v>6.0</v>
      </c>
      <c r="F70" s="9">
        <f t="shared" si="67"/>
        <v>0.1428571429</v>
      </c>
      <c r="G70" s="10" t="s">
        <v>24</v>
      </c>
      <c r="H70" s="11">
        <v>5.0</v>
      </c>
      <c r="I70" s="11">
        <v>3.0</v>
      </c>
      <c r="J70" s="13">
        <f t="shared" si="68"/>
        <v>0.25</v>
      </c>
      <c r="K70" s="10" t="s">
        <v>25</v>
      </c>
      <c r="L70" s="17"/>
      <c r="M70" s="17"/>
      <c r="N70" s="13" t="str">
        <f t="shared" si="69"/>
        <v>#DIV/0!</v>
      </c>
      <c r="O70" s="10" t="s">
        <v>26</v>
      </c>
      <c r="P70" s="17"/>
      <c r="Q70" s="17"/>
      <c r="R70" s="13" t="str">
        <f t="shared" si="70"/>
        <v>#DIV/0!</v>
      </c>
      <c r="S70" s="10" t="s">
        <v>27</v>
      </c>
      <c r="T70" s="11">
        <v>8.0</v>
      </c>
      <c r="U70" s="11">
        <v>10.0</v>
      </c>
      <c r="V70" s="13">
        <f t="shared" si="71"/>
        <v>-0.1111111111</v>
      </c>
    </row>
    <row r="71">
      <c r="C71" s="5" t="s">
        <v>28</v>
      </c>
      <c r="D71" s="9">
        <v>8.0</v>
      </c>
      <c r="E71" s="9">
        <v>4.0</v>
      </c>
      <c r="F71" s="9">
        <f t="shared" si="67"/>
        <v>0.3333333333</v>
      </c>
      <c r="G71" s="10" t="s">
        <v>29</v>
      </c>
      <c r="H71" s="11">
        <v>8.0</v>
      </c>
      <c r="I71" s="11">
        <v>7.0</v>
      </c>
      <c r="J71" s="13">
        <f t="shared" si="68"/>
        <v>0.06666666667</v>
      </c>
      <c r="K71" s="10" t="s">
        <v>30</v>
      </c>
      <c r="L71" s="17"/>
      <c r="M71" s="17"/>
      <c r="N71" s="13" t="str">
        <f t="shared" si="69"/>
        <v>#DIV/0!</v>
      </c>
      <c r="O71" s="10" t="s">
        <v>31</v>
      </c>
      <c r="P71" s="17"/>
      <c r="Q71" s="17"/>
      <c r="R71" s="13" t="str">
        <f t="shared" si="70"/>
        <v>#DIV/0!</v>
      </c>
      <c r="S71" s="10" t="s">
        <v>32</v>
      </c>
      <c r="T71" s="11">
        <v>6.0</v>
      </c>
      <c r="U71" s="11">
        <v>7.0</v>
      </c>
      <c r="V71" s="13">
        <f t="shared" si="71"/>
        <v>-0.07692307692</v>
      </c>
    </row>
    <row r="72">
      <c r="C72" s="15" t="s">
        <v>33</v>
      </c>
      <c r="F72" s="16">
        <f>AVERAGE(D68:D71)</f>
        <v>8</v>
      </c>
      <c r="G72" s="15" t="s">
        <v>33</v>
      </c>
      <c r="J72" s="16">
        <f>AVERAGE(H68:H71)</f>
        <v>7</v>
      </c>
      <c r="K72" s="15" t="s">
        <v>33</v>
      </c>
      <c r="N72" s="16" t="str">
        <f>AVERAGE(N68:N71)</f>
        <v>#DIV/0!</v>
      </c>
      <c r="O72" s="15" t="s">
        <v>33</v>
      </c>
      <c r="R72" s="16" t="str">
        <f>AVERAGE(R68:R71)</f>
        <v>#DIV/0!</v>
      </c>
      <c r="S72" s="15" t="s">
        <v>33</v>
      </c>
      <c r="V72" s="16">
        <f>AVERAGE(T68:T71)</f>
        <v>7.5</v>
      </c>
    </row>
    <row r="73">
      <c r="A73" s="5"/>
      <c r="B73" s="8"/>
      <c r="C73" s="20"/>
      <c r="D73" s="20"/>
      <c r="E73" s="20"/>
      <c r="F73" s="21"/>
      <c r="G73" s="20"/>
      <c r="H73" s="20"/>
      <c r="I73" s="20"/>
      <c r="J73" s="21"/>
      <c r="K73" s="20"/>
      <c r="L73" s="20"/>
      <c r="M73" s="20"/>
      <c r="N73" s="21"/>
      <c r="O73" s="20"/>
      <c r="P73" s="20"/>
      <c r="Q73" s="20"/>
      <c r="R73" s="21"/>
      <c r="S73" s="20"/>
      <c r="T73" s="20"/>
      <c r="U73" s="20"/>
      <c r="V73" s="21"/>
    </row>
    <row r="74">
      <c r="A74" s="5"/>
      <c r="B74" s="8"/>
      <c r="C74" s="20"/>
      <c r="D74" s="20"/>
      <c r="E74" s="20"/>
      <c r="F74" s="21"/>
      <c r="G74" s="20"/>
      <c r="H74" s="20"/>
      <c r="I74" s="20"/>
      <c r="J74" s="21"/>
      <c r="K74" s="20"/>
      <c r="L74" s="20"/>
      <c r="M74" s="20"/>
      <c r="N74" s="21"/>
      <c r="O74" s="20"/>
      <c r="P74" s="20"/>
      <c r="Q74" s="20"/>
      <c r="R74" s="21"/>
      <c r="S74" s="20"/>
      <c r="T74" s="20"/>
      <c r="U74" s="20"/>
      <c r="V74" s="21"/>
    </row>
    <row r="75">
      <c r="A75" s="5"/>
      <c r="B75" s="8"/>
      <c r="C75" s="20"/>
      <c r="D75" s="20"/>
      <c r="E75" s="20"/>
      <c r="F75" s="21"/>
      <c r="G75" s="20"/>
      <c r="H75" s="20"/>
      <c r="I75" s="20"/>
      <c r="J75" s="21"/>
      <c r="K75" s="20"/>
      <c r="L75" s="20"/>
      <c r="M75" s="20"/>
      <c r="N75" s="21"/>
      <c r="O75" s="20"/>
      <c r="P75" s="20"/>
      <c r="Q75" s="20"/>
      <c r="R75" s="21"/>
      <c r="S75" s="20"/>
      <c r="T75" s="20"/>
      <c r="U75" s="20"/>
      <c r="V75" s="21"/>
    </row>
    <row r="76">
      <c r="A76" s="5"/>
      <c r="B76" s="8"/>
      <c r="C76" s="20"/>
      <c r="D76" s="20"/>
      <c r="E76" s="20"/>
      <c r="F76" s="21"/>
      <c r="G76" s="20"/>
      <c r="H76" s="20"/>
      <c r="I76" s="20"/>
      <c r="J76" s="21"/>
      <c r="K76" s="20"/>
      <c r="L76" s="20"/>
      <c r="M76" s="20"/>
      <c r="N76" s="21"/>
      <c r="O76" s="20"/>
      <c r="P76" s="20"/>
      <c r="Q76" s="20"/>
      <c r="R76" s="21"/>
      <c r="S76" s="20"/>
      <c r="T76" s="20"/>
      <c r="U76" s="20"/>
      <c r="V76" s="21"/>
    </row>
    <row r="77">
      <c r="A77" s="5"/>
      <c r="B77" s="8"/>
      <c r="C77" s="20"/>
      <c r="D77" s="20"/>
      <c r="E77" s="20"/>
      <c r="F77" s="21"/>
      <c r="G77" s="20"/>
      <c r="H77" s="20"/>
      <c r="I77" s="20"/>
      <c r="J77" s="21"/>
      <c r="K77" s="20"/>
      <c r="L77" s="20"/>
      <c r="M77" s="20"/>
      <c r="N77" s="21"/>
      <c r="O77" s="20"/>
      <c r="P77" s="20"/>
      <c r="Q77" s="20"/>
      <c r="R77" s="21"/>
      <c r="S77" s="20"/>
      <c r="T77" s="20"/>
      <c r="U77" s="20"/>
      <c r="V77" s="21"/>
    </row>
    <row r="78">
      <c r="A78" s="5"/>
      <c r="B78" s="8"/>
      <c r="C78" s="20"/>
      <c r="D78" s="20"/>
      <c r="E78" s="20"/>
      <c r="F78" s="21"/>
      <c r="G78" s="20"/>
      <c r="H78" s="20"/>
      <c r="I78" s="20"/>
      <c r="J78" s="21"/>
      <c r="K78" s="20"/>
      <c r="L78" s="20"/>
      <c r="M78" s="20"/>
      <c r="N78" s="21"/>
      <c r="O78" s="20"/>
      <c r="P78" s="20"/>
      <c r="Q78" s="20"/>
      <c r="R78" s="21"/>
      <c r="S78" s="20"/>
      <c r="T78" s="20"/>
      <c r="U78" s="20"/>
      <c r="V78" s="21"/>
    </row>
    <row r="79">
      <c r="A79" s="5"/>
      <c r="B79" s="8"/>
      <c r="C79" s="20"/>
      <c r="D79" s="20"/>
      <c r="E79" s="20"/>
      <c r="F79" s="21"/>
      <c r="G79" s="20"/>
      <c r="H79" s="20"/>
      <c r="I79" s="20"/>
      <c r="J79" s="21"/>
      <c r="K79" s="20"/>
      <c r="L79" s="20"/>
      <c r="M79" s="20"/>
      <c r="N79" s="21"/>
      <c r="O79" s="20"/>
      <c r="P79" s="20"/>
      <c r="Q79" s="20"/>
      <c r="R79" s="21"/>
      <c r="S79" s="20"/>
      <c r="T79" s="20"/>
      <c r="U79" s="20"/>
      <c r="V79" s="21"/>
    </row>
    <row r="80">
      <c r="A80" s="5"/>
      <c r="B80" s="8"/>
      <c r="C80" s="20"/>
      <c r="D80" s="20"/>
      <c r="E80" s="20"/>
      <c r="F80" s="21"/>
      <c r="G80" s="20"/>
      <c r="H80" s="20"/>
      <c r="I80" s="20"/>
      <c r="J80" s="21"/>
      <c r="K80" s="20"/>
      <c r="L80" s="20"/>
      <c r="M80" s="20"/>
      <c r="N80" s="21"/>
      <c r="O80" s="20"/>
      <c r="P80" s="20"/>
      <c r="Q80" s="20"/>
      <c r="R80" s="21"/>
      <c r="S80" s="20"/>
      <c r="T80" s="20"/>
      <c r="U80" s="20"/>
      <c r="V80" s="21"/>
    </row>
    <row r="81">
      <c r="A81" s="5"/>
      <c r="B81" s="8"/>
      <c r="C81" s="20"/>
      <c r="D81" s="20"/>
      <c r="E81" s="20"/>
      <c r="F81" s="21"/>
      <c r="G81" s="20"/>
      <c r="H81" s="20"/>
      <c r="I81" s="20"/>
      <c r="J81" s="21"/>
      <c r="K81" s="20"/>
      <c r="L81" s="20"/>
      <c r="M81" s="20"/>
      <c r="N81" s="21"/>
      <c r="O81" s="20"/>
      <c r="P81" s="20"/>
      <c r="Q81" s="20"/>
      <c r="R81" s="21"/>
      <c r="S81" s="20"/>
      <c r="T81" s="20"/>
      <c r="U81" s="20"/>
      <c r="V81" s="21"/>
    </row>
    <row r="82">
      <c r="A82" s="5"/>
      <c r="B82" s="8"/>
      <c r="C82" s="20"/>
      <c r="D82" s="20"/>
      <c r="E82" s="20"/>
      <c r="F82" s="21"/>
      <c r="G82" s="20"/>
      <c r="H82" s="20"/>
      <c r="I82" s="20"/>
      <c r="J82" s="21"/>
      <c r="K82" s="20"/>
      <c r="L82" s="20"/>
      <c r="M82" s="20"/>
      <c r="N82" s="21"/>
      <c r="O82" s="20"/>
      <c r="P82" s="20"/>
      <c r="Q82" s="20"/>
      <c r="R82" s="21"/>
      <c r="S82" s="20"/>
      <c r="T82" s="20"/>
      <c r="U82" s="20"/>
      <c r="V82" s="21"/>
    </row>
    <row r="83">
      <c r="A83" s="5"/>
      <c r="B83" s="8"/>
      <c r="C83" s="20"/>
      <c r="D83" s="20"/>
      <c r="E83" s="20"/>
      <c r="F83" s="21"/>
      <c r="G83" s="20"/>
      <c r="H83" s="20"/>
      <c r="I83" s="20"/>
      <c r="J83" s="21"/>
      <c r="K83" s="20"/>
      <c r="L83" s="20"/>
      <c r="M83" s="20"/>
      <c r="N83" s="21"/>
      <c r="O83" s="20"/>
      <c r="P83" s="20"/>
      <c r="Q83" s="20"/>
      <c r="R83" s="21"/>
      <c r="S83" s="20"/>
      <c r="T83" s="20"/>
      <c r="U83" s="20"/>
      <c r="V83" s="21"/>
    </row>
    <row r="84">
      <c r="A84" s="5"/>
      <c r="B84" s="8"/>
      <c r="C84" s="20"/>
      <c r="D84" s="20"/>
      <c r="E84" s="20"/>
      <c r="F84" s="21"/>
      <c r="G84" s="20"/>
      <c r="H84" s="20"/>
      <c r="I84" s="20"/>
      <c r="J84" s="21"/>
      <c r="K84" s="20"/>
      <c r="L84" s="20"/>
      <c r="M84" s="20"/>
      <c r="N84" s="21"/>
      <c r="O84" s="20"/>
      <c r="P84" s="20"/>
      <c r="Q84" s="20"/>
      <c r="R84" s="21"/>
      <c r="S84" s="20"/>
      <c r="T84" s="20"/>
      <c r="U84" s="20"/>
      <c r="V84" s="21"/>
    </row>
    <row r="85">
      <c r="A85" s="5"/>
      <c r="B85" s="8"/>
      <c r="C85" s="20"/>
      <c r="D85" s="20"/>
      <c r="E85" s="20"/>
      <c r="F85" s="21"/>
      <c r="G85" s="20"/>
      <c r="H85" s="20"/>
      <c r="I85" s="20"/>
      <c r="J85" s="21"/>
      <c r="K85" s="20"/>
      <c r="L85" s="20"/>
      <c r="M85" s="20"/>
      <c r="N85" s="21"/>
      <c r="O85" s="20"/>
      <c r="P85" s="20"/>
      <c r="Q85" s="20"/>
      <c r="R85" s="21"/>
      <c r="S85" s="20"/>
      <c r="T85" s="20"/>
      <c r="U85" s="20"/>
      <c r="V85" s="21"/>
    </row>
    <row r="86">
      <c r="A86" s="5"/>
      <c r="B86" s="8"/>
      <c r="C86" s="20"/>
      <c r="D86" s="20"/>
      <c r="E86" s="20"/>
      <c r="F86" s="21"/>
      <c r="G86" s="20"/>
      <c r="H86" s="20"/>
      <c r="I86" s="20"/>
      <c r="J86" s="21"/>
      <c r="K86" s="20"/>
      <c r="L86" s="20"/>
      <c r="M86" s="20"/>
      <c r="N86" s="21"/>
      <c r="O86" s="20"/>
      <c r="P86" s="20"/>
      <c r="Q86" s="20"/>
      <c r="R86" s="21"/>
      <c r="S86" s="20"/>
      <c r="T86" s="20"/>
      <c r="U86" s="20"/>
      <c r="V86" s="21"/>
    </row>
    <row r="87">
      <c r="A87" s="5"/>
      <c r="B87" s="8"/>
      <c r="C87" s="20"/>
      <c r="D87" s="20"/>
      <c r="E87" s="20"/>
      <c r="F87" s="21"/>
      <c r="G87" s="20"/>
      <c r="H87" s="20"/>
      <c r="I87" s="20"/>
      <c r="J87" s="21"/>
      <c r="K87" s="20"/>
      <c r="L87" s="20"/>
      <c r="M87" s="20"/>
      <c r="N87" s="21"/>
      <c r="O87" s="20"/>
      <c r="P87" s="20"/>
      <c r="Q87" s="20"/>
      <c r="R87" s="21"/>
      <c r="S87" s="20"/>
      <c r="T87" s="20"/>
      <c r="U87" s="20"/>
      <c r="V87" s="21"/>
    </row>
    <row r="88">
      <c r="A88" s="5"/>
      <c r="B88" s="8"/>
      <c r="C88" s="20"/>
      <c r="D88" s="20"/>
      <c r="E88" s="20"/>
      <c r="F88" s="21"/>
      <c r="G88" s="20"/>
      <c r="H88" s="20"/>
      <c r="I88" s="20"/>
      <c r="J88" s="21"/>
      <c r="K88" s="20"/>
      <c r="L88" s="20"/>
      <c r="M88" s="20"/>
      <c r="N88" s="21"/>
      <c r="O88" s="20"/>
      <c r="P88" s="20"/>
      <c r="Q88" s="20"/>
      <c r="R88" s="21"/>
      <c r="S88" s="20"/>
      <c r="T88" s="20"/>
      <c r="U88" s="20"/>
      <c r="V88" s="21"/>
    </row>
    <row r="89">
      <c r="A89" s="5"/>
      <c r="B89" s="8"/>
      <c r="C89" s="20"/>
      <c r="D89" s="20"/>
      <c r="E89" s="20"/>
      <c r="F89" s="21"/>
      <c r="G89" s="20"/>
      <c r="H89" s="20"/>
      <c r="I89" s="20"/>
      <c r="J89" s="21"/>
      <c r="K89" s="20"/>
      <c r="L89" s="20"/>
      <c r="M89" s="20"/>
      <c r="N89" s="21"/>
      <c r="O89" s="20"/>
      <c r="P89" s="20"/>
      <c r="Q89" s="20"/>
      <c r="R89" s="21"/>
      <c r="S89" s="20"/>
      <c r="T89" s="20"/>
      <c r="U89" s="20"/>
      <c r="V89" s="21"/>
    </row>
    <row r="90">
      <c r="A90" s="5"/>
      <c r="B90" s="8"/>
      <c r="C90" s="20"/>
      <c r="D90" s="20"/>
      <c r="E90" s="20"/>
      <c r="F90" s="21"/>
      <c r="G90" s="20"/>
      <c r="H90" s="20"/>
      <c r="I90" s="20"/>
      <c r="J90" s="21"/>
      <c r="K90" s="20"/>
      <c r="L90" s="20"/>
      <c r="M90" s="20"/>
      <c r="N90" s="21"/>
      <c r="O90" s="20"/>
      <c r="P90" s="20"/>
      <c r="Q90" s="20"/>
      <c r="R90" s="21"/>
      <c r="S90" s="20"/>
      <c r="T90" s="20"/>
      <c r="U90" s="20"/>
      <c r="V90" s="21"/>
    </row>
    <row r="91">
      <c r="A91" s="5"/>
      <c r="B91" s="8"/>
      <c r="C91" s="20"/>
      <c r="D91" s="20"/>
      <c r="E91" s="20"/>
      <c r="F91" s="21"/>
      <c r="G91" s="20"/>
      <c r="H91" s="20"/>
      <c r="I91" s="20"/>
      <c r="J91" s="21"/>
      <c r="K91" s="20"/>
      <c r="L91" s="20"/>
      <c r="M91" s="20"/>
      <c r="N91" s="21"/>
      <c r="O91" s="20"/>
      <c r="P91" s="20"/>
      <c r="Q91" s="20"/>
      <c r="R91" s="21"/>
      <c r="S91" s="20"/>
      <c r="T91" s="20"/>
      <c r="U91" s="20"/>
      <c r="V91" s="21"/>
    </row>
    <row r="92">
      <c r="A92" s="5"/>
      <c r="B92" s="8"/>
      <c r="C92" s="20"/>
      <c r="D92" s="20"/>
      <c r="E92" s="20"/>
      <c r="F92" s="21"/>
      <c r="G92" s="20"/>
      <c r="H92" s="20"/>
      <c r="I92" s="20"/>
      <c r="J92" s="21"/>
      <c r="K92" s="20"/>
      <c r="L92" s="20"/>
      <c r="M92" s="20"/>
      <c r="N92" s="21"/>
      <c r="O92" s="20"/>
      <c r="P92" s="20"/>
      <c r="Q92" s="20"/>
      <c r="R92" s="21"/>
      <c r="S92" s="20"/>
      <c r="T92" s="20"/>
      <c r="U92" s="20"/>
      <c r="V92" s="21"/>
    </row>
    <row r="93">
      <c r="A93" s="5"/>
      <c r="B93" s="8"/>
      <c r="C93" s="20"/>
      <c r="D93" s="20"/>
      <c r="E93" s="20"/>
      <c r="F93" s="21"/>
      <c r="G93" s="20"/>
      <c r="H93" s="20"/>
      <c r="I93" s="20"/>
      <c r="J93" s="21"/>
      <c r="K93" s="20"/>
      <c r="L93" s="20"/>
      <c r="M93" s="20"/>
      <c r="N93" s="21"/>
      <c r="O93" s="20"/>
      <c r="P93" s="20"/>
      <c r="Q93" s="20"/>
      <c r="R93" s="21"/>
      <c r="S93" s="20"/>
      <c r="T93" s="20"/>
      <c r="U93" s="20"/>
      <c r="V93" s="21"/>
    </row>
    <row r="94">
      <c r="A94" s="5"/>
      <c r="B94" s="8"/>
      <c r="C94" s="20"/>
      <c r="D94" s="20"/>
      <c r="E94" s="20"/>
      <c r="F94" s="21"/>
      <c r="G94" s="20"/>
      <c r="H94" s="20"/>
      <c r="I94" s="20"/>
      <c r="J94" s="21"/>
      <c r="K94" s="20"/>
      <c r="L94" s="20"/>
      <c r="M94" s="20"/>
      <c r="N94" s="21"/>
      <c r="O94" s="20"/>
      <c r="P94" s="20"/>
      <c r="Q94" s="20"/>
      <c r="R94" s="21"/>
      <c r="S94" s="20"/>
      <c r="T94" s="20"/>
      <c r="U94" s="20"/>
      <c r="V94" s="21"/>
    </row>
    <row r="95">
      <c r="A95" s="5"/>
      <c r="B95" s="8"/>
      <c r="C95" s="20"/>
      <c r="D95" s="20"/>
      <c r="E95" s="20"/>
      <c r="F95" s="21"/>
      <c r="G95" s="20"/>
      <c r="H95" s="20"/>
      <c r="I95" s="20"/>
      <c r="J95" s="21"/>
      <c r="K95" s="20"/>
      <c r="L95" s="20"/>
      <c r="M95" s="20"/>
      <c r="N95" s="21"/>
      <c r="O95" s="20"/>
      <c r="P95" s="20"/>
      <c r="Q95" s="20"/>
      <c r="R95" s="21"/>
      <c r="S95" s="20"/>
      <c r="T95" s="20"/>
      <c r="U95" s="20"/>
      <c r="V95" s="21"/>
    </row>
    <row r="96">
      <c r="A96" s="5"/>
      <c r="B96" s="8"/>
      <c r="C96" s="20"/>
      <c r="D96" s="20"/>
      <c r="E96" s="20"/>
      <c r="F96" s="21"/>
      <c r="G96" s="20"/>
      <c r="H96" s="20"/>
      <c r="I96" s="20"/>
      <c r="J96" s="21"/>
      <c r="K96" s="20"/>
      <c r="L96" s="20"/>
      <c r="M96" s="20"/>
      <c r="N96" s="21"/>
      <c r="O96" s="20"/>
      <c r="P96" s="20"/>
      <c r="Q96" s="20"/>
      <c r="R96" s="21"/>
      <c r="S96" s="20"/>
      <c r="T96" s="20"/>
      <c r="U96" s="20"/>
      <c r="V96" s="21"/>
    </row>
    <row r="97">
      <c r="A97" s="5"/>
      <c r="B97" s="8"/>
      <c r="C97" s="20"/>
      <c r="D97" s="20"/>
      <c r="E97" s="20"/>
      <c r="F97" s="21"/>
      <c r="G97" s="20"/>
      <c r="H97" s="20"/>
      <c r="I97" s="20"/>
      <c r="J97" s="21"/>
      <c r="K97" s="20"/>
      <c r="L97" s="20"/>
      <c r="M97" s="20"/>
      <c r="N97" s="21"/>
      <c r="O97" s="20"/>
      <c r="P97" s="20"/>
      <c r="Q97" s="20"/>
      <c r="R97" s="21"/>
      <c r="S97" s="20"/>
      <c r="T97" s="20"/>
      <c r="U97" s="20"/>
      <c r="V97" s="21"/>
    </row>
    <row r="98">
      <c r="A98" s="5"/>
      <c r="B98" s="8"/>
      <c r="C98" s="20"/>
      <c r="D98" s="20"/>
      <c r="E98" s="20"/>
      <c r="F98" s="21"/>
      <c r="G98" s="20"/>
      <c r="H98" s="20"/>
      <c r="I98" s="20"/>
      <c r="J98" s="21"/>
      <c r="K98" s="20"/>
      <c r="L98" s="20"/>
      <c r="M98" s="20"/>
      <c r="N98" s="21"/>
      <c r="O98" s="20"/>
      <c r="P98" s="20"/>
      <c r="Q98" s="20"/>
      <c r="R98" s="21"/>
      <c r="S98" s="20"/>
      <c r="T98" s="20"/>
      <c r="U98" s="20"/>
      <c r="V98" s="21"/>
    </row>
    <row r="99">
      <c r="A99" s="5"/>
      <c r="B99" s="8"/>
      <c r="C99" s="20"/>
      <c r="D99" s="20"/>
      <c r="E99" s="20"/>
      <c r="F99" s="21"/>
      <c r="G99" s="20"/>
      <c r="H99" s="20"/>
      <c r="I99" s="20"/>
      <c r="J99" s="21"/>
      <c r="K99" s="20"/>
      <c r="L99" s="20"/>
      <c r="M99" s="20"/>
      <c r="N99" s="21"/>
      <c r="O99" s="20"/>
      <c r="P99" s="20"/>
      <c r="Q99" s="20"/>
      <c r="R99" s="21"/>
      <c r="S99" s="20"/>
      <c r="T99" s="20"/>
      <c r="U99" s="20"/>
      <c r="V99" s="21"/>
    </row>
    <row r="100">
      <c r="A100" s="5"/>
      <c r="B100" s="8"/>
      <c r="C100" s="20"/>
      <c r="D100" s="20"/>
      <c r="E100" s="20"/>
      <c r="F100" s="21"/>
      <c r="G100" s="20"/>
      <c r="H100" s="20"/>
      <c r="I100" s="20"/>
      <c r="J100" s="21"/>
      <c r="K100" s="20"/>
      <c r="L100" s="20"/>
      <c r="M100" s="20"/>
      <c r="N100" s="21"/>
      <c r="O100" s="20"/>
      <c r="P100" s="20"/>
      <c r="Q100" s="20"/>
      <c r="R100" s="21"/>
      <c r="S100" s="20"/>
      <c r="T100" s="20"/>
      <c r="U100" s="20"/>
      <c r="V100" s="21"/>
    </row>
    <row r="101">
      <c r="A101" s="5"/>
      <c r="B101" s="8"/>
      <c r="C101" s="20"/>
      <c r="D101" s="20"/>
      <c r="E101" s="20"/>
      <c r="F101" s="21"/>
      <c r="G101" s="20"/>
      <c r="H101" s="20"/>
      <c r="I101" s="20"/>
      <c r="J101" s="21"/>
      <c r="K101" s="20"/>
      <c r="L101" s="20"/>
      <c r="M101" s="20"/>
      <c r="N101" s="21"/>
      <c r="O101" s="20"/>
      <c r="P101" s="20"/>
      <c r="Q101" s="20"/>
      <c r="R101" s="21"/>
      <c r="S101" s="20"/>
      <c r="T101" s="20"/>
      <c r="U101" s="20"/>
      <c r="V101" s="21"/>
    </row>
    <row r="102">
      <c r="A102" s="5"/>
      <c r="B102" s="8"/>
      <c r="C102" s="20"/>
      <c r="D102" s="20"/>
      <c r="E102" s="20"/>
      <c r="F102" s="21"/>
      <c r="G102" s="20"/>
      <c r="H102" s="20"/>
      <c r="I102" s="20"/>
      <c r="J102" s="21"/>
      <c r="K102" s="20"/>
      <c r="L102" s="20"/>
      <c r="M102" s="20"/>
      <c r="N102" s="21"/>
      <c r="O102" s="20"/>
      <c r="P102" s="20"/>
      <c r="Q102" s="20"/>
      <c r="R102" s="21"/>
      <c r="S102" s="20"/>
      <c r="T102" s="20"/>
      <c r="U102" s="20"/>
      <c r="V102" s="21"/>
    </row>
    <row r="103">
      <c r="A103" s="5"/>
      <c r="B103" s="8"/>
      <c r="C103" s="20"/>
      <c r="D103" s="20"/>
      <c r="E103" s="20"/>
      <c r="F103" s="21"/>
      <c r="G103" s="20"/>
      <c r="H103" s="20"/>
      <c r="I103" s="20"/>
      <c r="J103" s="21"/>
      <c r="K103" s="20"/>
      <c r="L103" s="20"/>
      <c r="M103" s="20"/>
      <c r="N103" s="21"/>
      <c r="O103" s="20"/>
      <c r="P103" s="20"/>
      <c r="Q103" s="20"/>
      <c r="R103" s="21"/>
      <c r="S103" s="20"/>
      <c r="T103" s="20"/>
      <c r="U103" s="20"/>
      <c r="V103" s="21"/>
    </row>
    <row r="104">
      <c r="A104" s="5"/>
      <c r="B104" s="8"/>
      <c r="C104" s="20"/>
      <c r="D104" s="20"/>
      <c r="E104" s="20"/>
      <c r="F104" s="21"/>
      <c r="G104" s="20"/>
      <c r="H104" s="20"/>
      <c r="I104" s="20"/>
      <c r="J104" s="21"/>
      <c r="K104" s="20"/>
      <c r="L104" s="20"/>
      <c r="M104" s="20"/>
      <c r="N104" s="21"/>
      <c r="O104" s="20"/>
      <c r="P104" s="20"/>
      <c r="Q104" s="20"/>
      <c r="R104" s="21"/>
      <c r="S104" s="20"/>
      <c r="T104" s="20"/>
      <c r="U104" s="20"/>
      <c r="V104" s="21"/>
    </row>
    <row r="105">
      <c r="A105" s="5"/>
      <c r="B105" s="8"/>
      <c r="C105" s="20"/>
      <c r="D105" s="20"/>
      <c r="E105" s="20"/>
      <c r="F105" s="21"/>
      <c r="G105" s="20"/>
      <c r="H105" s="20"/>
      <c r="I105" s="20"/>
      <c r="J105" s="21"/>
      <c r="K105" s="20"/>
      <c r="L105" s="20"/>
      <c r="M105" s="20"/>
      <c r="N105" s="21"/>
      <c r="O105" s="20"/>
      <c r="P105" s="20"/>
      <c r="Q105" s="20"/>
      <c r="R105" s="21"/>
      <c r="S105" s="20"/>
      <c r="T105" s="20"/>
      <c r="U105" s="20"/>
      <c r="V105" s="21"/>
    </row>
    <row r="106">
      <c r="A106" s="5"/>
      <c r="B106" s="8"/>
      <c r="C106" s="20"/>
      <c r="D106" s="20"/>
      <c r="E106" s="20"/>
      <c r="F106" s="21"/>
      <c r="G106" s="20"/>
      <c r="H106" s="20"/>
      <c r="I106" s="20"/>
      <c r="J106" s="21"/>
      <c r="K106" s="20"/>
      <c r="L106" s="20"/>
      <c r="M106" s="20"/>
      <c r="N106" s="21"/>
      <c r="O106" s="20"/>
      <c r="P106" s="20"/>
      <c r="Q106" s="20"/>
      <c r="R106" s="21"/>
      <c r="S106" s="20"/>
      <c r="T106" s="20"/>
      <c r="U106" s="20"/>
      <c r="V106" s="21"/>
    </row>
    <row r="107">
      <c r="A107" s="5"/>
      <c r="B107" s="8"/>
      <c r="C107" s="20"/>
      <c r="D107" s="20"/>
      <c r="E107" s="20"/>
      <c r="F107" s="21"/>
      <c r="G107" s="20"/>
      <c r="H107" s="20"/>
      <c r="I107" s="20"/>
      <c r="J107" s="21"/>
      <c r="K107" s="20"/>
      <c r="L107" s="20"/>
      <c r="M107" s="20"/>
      <c r="N107" s="21"/>
      <c r="O107" s="20"/>
      <c r="P107" s="20"/>
      <c r="Q107" s="20"/>
      <c r="R107" s="21"/>
      <c r="S107" s="20"/>
      <c r="T107" s="20"/>
      <c r="U107" s="20"/>
      <c r="V107" s="21"/>
    </row>
    <row r="108">
      <c r="A108" s="5"/>
      <c r="B108" s="8"/>
      <c r="C108" s="20"/>
      <c r="D108" s="20"/>
      <c r="E108" s="20"/>
      <c r="F108" s="21"/>
      <c r="G108" s="20"/>
      <c r="H108" s="20"/>
      <c r="I108" s="20"/>
      <c r="J108" s="21"/>
      <c r="K108" s="20"/>
      <c r="L108" s="20"/>
      <c r="M108" s="20"/>
      <c r="N108" s="21"/>
      <c r="O108" s="20"/>
      <c r="P108" s="20"/>
      <c r="Q108" s="20"/>
      <c r="R108" s="21"/>
      <c r="S108" s="20"/>
      <c r="T108" s="20"/>
      <c r="U108" s="20"/>
      <c r="V108" s="21"/>
    </row>
    <row r="109">
      <c r="A109" s="5"/>
      <c r="B109" s="8"/>
      <c r="C109" s="20"/>
      <c r="D109" s="20"/>
      <c r="E109" s="20"/>
      <c r="F109" s="21"/>
      <c r="G109" s="20"/>
      <c r="H109" s="20"/>
      <c r="I109" s="20"/>
      <c r="J109" s="21"/>
      <c r="K109" s="20"/>
      <c r="L109" s="20"/>
      <c r="M109" s="20"/>
      <c r="N109" s="21"/>
      <c r="O109" s="20"/>
      <c r="P109" s="20"/>
      <c r="Q109" s="20"/>
      <c r="R109" s="21"/>
      <c r="S109" s="20"/>
      <c r="T109" s="20"/>
      <c r="U109" s="20"/>
      <c r="V109" s="21"/>
    </row>
    <row r="110">
      <c r="A110" s="5"/>
      <c r="B110" s="8"/>
      <c r="C110" s="20"/>
      <c r="D110" s="20"/>
      <c r="E110" s="20"/>
      <c r="F110" s="21"/>
      <c r="G110" s="20"/>
      <c r="H110" s="20"/>
      <c r="I110" s="20"/>
      <c r="J110" s="21"/>
      <c r="K110" s="20"/>
      <c r="L110" s="20"/>
      <c r="M110" s="20"/>
      <c r="N110" s="21"/>
      <c r="O110" s="20"/>
      <c r="P110" s="20"/>
      <c r="Q110" s="20"/>
      <c r="R110" s="21"/>
      <c r="S110" s="20"/>
      <c r="T110" s="20"/>
      <c r="U110" s="20"/>
      <c r="V110" s="21"/>
    </row>
    <row r="111">
      <c r="A111" s="5"/>
      <c r="B111" s="8"/>
      <c r="C111" s="20"/>
      <c r="D111" s="20"/>
      <c r="E111" s="20"/>
      <c r="F111" s="21"/>
      <c r="G111" s="20"/>
      <c r="H111" s="20"/>
      <c r="I111" s="20"/>
      <c r="J111" s="21"/>
      <c r="K111" s="20"/>
      <c r="L111" s="20"/>
      <c r="M111" s="20"/>
      <c r="N111" s="21"/>
      <c r="O111" s="20"/>
      <c r="P111" s="20"/>
      <c r="Q111" s="20"/>
      <c r="R111" s="21"/>
      <c r="S111" s="20"/>
      <c r="T111" s="20"/>
      <c r="U111" s="20"/>
      <c r="V111" s="21"/>
    </row>
    <row r="112">
      <c r="A112" s="5"/>
      <c r="B112" s="8"/>
      <c r="C112" s="20"/>
      <c r="D112" s="20"/>
      <c r="E112" s="20"/>
      <c r="F112" s="21"/>
      <c r="G112" s="20"/>
      <c r="H112" s="20"/>
      <c r="I112" s="20"/>
      <c r="J112" s="21"/>
      <c r="K112" s="20"/>
      <c r="L112" s="20"/>
      <c r="M112" s="20"/>
      <c r="N112" s="21"/>
      <c r="O112" s="20"/>
      <c r="P112" s="20"/>
      <c r="Q112" s="20"/>
      <c r="R112" s="21"/>
      <c r="S112" s="20"/>
      <c r="T112" s="20"/>
      <c r="U112" s="20"/>
      <c r="V112" s="21"/>
    </row>
    <row r="113">
      <c r="A113" s="5"/>
      <c r="B113" s="8"/>
      <c r="C113" s="20"/>
      <c r="D113" s="20"/>
      <c r="E113" s="20"/>
      <c r="F113" s="21"/>
      <c r="G113" s="20"/>
      <c r="H113" s="20"/>
      <c r="I113" s="20"/>
      <c r="J113" s="21"/>
      <c r="K113" s="20"/>
      <c r="L113" s="20"/>
      <c r="M113" s="20"/>
      <c r="N113" s="21"/>
      <c r="O113" s="20"/>
      <c r="P113" s="20"/>
      <c r="Q113" s="20"/>
      <c r="R113" s="21"/>
      <c r="S113" s="20"/>
      <c r="T113" s="20"/>
      <c r="U113" s="20"/>
      <c r="V113" s="21"/>
    </row>
    <row r="114">
      <c r="A114" s="5"/>
      <c r="B114" s="8"/>
      <c r="C114" s="20"/>
      <c r="D114" s="20"/>
      <c r="E114" s="20"/>
      <c r="F114" s="21"/>
      <c r="G114" s="20"/>
      <c r="H114" s="20"/>
      <c r="I114" s="20"/>
      <c r="J114" s="21"/>
      <c r="K114" s="20"/>
      <c r="L114" s="20"/>
      <c r="M114" s="20"/>
      <c r="N114" s="21"/>
      <c r="O114" s="20"/>
      <c r="P114" s="20"/>
      <c r="Q114" s="20"/>
      <c r="R114" s="21"/>
      <c r="S114" s="20"/>
      <c r="T114" s="20"/>
      <c r="U114" s="20"/>
      <c r="V114" s="21"/>
    </row>
    <row r="115">
      <c r="A115" s="5"/>
      <c r="B115" s="8"/>
      <c r="C115" s="20"/>
      <c r="D115" s="20"/>
      <c r="E115" s="20"/>
      <c r="F115" s="21"/>
      <c r="G115" s="20"/>
      <c r="H115" s="20"/>
      <c r="I115" s="20"/>
      <c r="J115" s="21"/>
      <c r="K115" s="20"/>
      <c r="L115" s="20"/>
      <c r="M115" s="20"/>
      <c r="N115" s="21"/>
      <c r="O115" s="20"/>
      <c r="P115" s="20"/>
      <c r="Q115" s="20"/>
      <c r="R115" s="21"/>
      <c r="S115" s="20"/>
      <c r="T115" s="20"/>
      <c r="U115" s="20"/>
      <c r="V115" s="21"/>
    </row>
    <row r="116">
      <c r="A116" s="5"/>
      <c r="B116" s="8"/>
      <c r="C116" s="20"/>
      <c r="D116" s="20"/>
      <c r="E116" s="20"/>
      <c r="F116" s="21"/>
      <c r="G116" s="20"/>
      <c r="H116" s="20"/>
      <c r="I116" s="20"/>
      <c r="J116" s="21"/>
      <c r="K116" s="20"/>
      <c r="L116" s="20"/>
      <c r="M116" s="20"/>
      <c r="N116" s="21"/>
      <c r="O116" s="20"/>
      <c r="P116" s="20"/>
      <c r="Q116" s="20"/>
      <c r="R116" s="21"/>
      <c r="S116" s="20"/>
      <c r="T116" s="20"/>
      <c r="U116" s="20"/>
      <c r="V116" s="21"/>
    </row>
    <row r="117">
      <c r="A117" s="5"/>
      <c r="B117" s="8"/>
      <c r="C117" s="20"/>
      <c r="D117" s="20"/>
      <c r="E117" s="20"/>
      <c r="F117" s="21"/>
      <c r="G117" s="20"/>
      <c r="H117" s="20"/>
      <c r="I117" s="20"/>
      <c r="J117" s="21"/>
      <c r="K117" s="20"/>
      <c r="L117" s="20"/>
      <c r="M117" s="20"/>
      <c r="N117" s="21"/>
      <c r="O117" s="20"/>
      <c r="P117" s="20"/>
      <c r="Q117" s="20"/>
      <c r="R117" s="21"/>
      <c r="S117" s="20"/>
      <c r="T117" s="20"/>
      <c r="U117" s="20"/>
      <c r="V117" s="21"/>
    </row>
    <row r="118">
      <c r="A118" s="5"/>
      <c r="B118" s="8"/>
      <c r="C118" s="20"/>
      <c r="D118" s="20"/>
      <c r="E118" s="20"/>
      <c r="F118" s="21"/>
      <c r="G118" s="20"/>
      <c r="H118" s="20"/>
      <c r="I118" s="20"/>
      <c r="J118" s="21"/>
      <c r="K118" s="20"/>
      <c r="L118" s="20"/>
      <c r="M118" s="20"/>
      <c r="N118" s="21"/>
      <c r="O118" s="20"/>
      <c r="P118" s="20"/>
      <c r="Q118" s="20"/>
      <c r="R118" s="21"/>
      <c r="S118" s="20"/>
      <c r="T118" s="20"/>
      <c r="U118" s="20"/>
      <c r="V118" s="21"/>
    </row>
    <row r="119">
      <c r="A119" s="5"/>
      <c r="B119" s="8"/>
      <c r="C119" s="20"/>
      <c r="D119" s="20"/>
      <c r="E119" s="20"/>
      <c r="F119" s="21"/>
      <c r="G119" s="20"/>
      <c r="H119" s="20"/>
      <c r="I119" s="20"/>
      <c r="J119" s="21"/>
      <c r="K119" s="20"/>
      <c r="L119" s="20"/>
      <c r="M119" s="20"/>
      <c r="N119" s="21"/>
      <c r="O119" s="20"/>
      <c r="P119" s="20"/>
      <c r="Q119" s="20"/>
      <c r="R119" s="21"/>
      <c r="S119" s="20"/>
      <c r="T119" s="20"/>
      <c r="U119" s="20"/>
      <c r="V119" s="21"/>
    </row>
    <row r="120">
      <c r="A120" s="5"/>
      <c r="B120" s="8"/>
      <c r="C120" s="20"/>
      <c r="D120" s="20"/>
      <c r="E120" s="20"/>
      <c r="F120" s="21"/>
      <c r="G120" s="20"/>
      <c r="H120" s="20"/>
      <c r="I120" s="20"/>
      <c r="J120" s="21"/>
      <c r="K120" s="20"/>
      <c r="L120" s="20"/>
      <c r="M120" s="20"/>
      <c r="N120" s="21"/>
      <c r="O120" s="20"/>
      <c r="P120" s="20"/>
      <c r="Q120" s="20"/>
      <c r="R120" s="21"/>
      <c r="S120" s="20"/>
      <c r="T120" s="20"/>
      <c r="U120" s="20"/>
      <c r="V120" s="21"/>
    </row>
    <row r="121">
      <c r="A121" s="5"/>
      <c r="B121" s="8"/>
      <c r="C121" s="20"/>
      <c r="D121" s="20"/>
      <c r="E121" s="20"/>
      <c r="F121" s="21"/>
      <c r="G121" s="20"/>
      <c r="H121" s="20"/>
      <c r="I121" s="20"/>
      <c r="J121" s="21"/>
      <c r="K121" s="20"/>
      <c r="L121" s="20"/>
      <c r="M121" s="20"/>
      <c r="N121" s="21"/>
      <c r="O121" s="20"/>
      <c r="P121" s="20"/>
      <c r="Q121" s="20"/>
      <c r="R121" s="21"/>
      <c r="S121" s="20"/>
      <c r="T121" s="20"/>
      <c r="U121" s="20"/>
      <c r="V121" s="21"/>
    </row>
    <row r="122">
      <c r="A122" s="5"/>
      <c r="B122" s="8"/>
      <c r="C122" s="20"/>
      <c r="D122" s="20"/>
      <c r="E122" s="20"/>
      <c r="F122" s="21"/>
      <c r="G122" s="20"/>
      <c r="H122" s="20"/>
      <c r="I122" s="20"/>
      <c r="J122" s="21"/>
      <c r="K122" s="20"/>
      <c r="L122" s="20"/>
      <c r="M122" s="20"/>
      <c r="N122" s="21"/>
      <c r="O122" s="20"/>
      <c r="P122" s="20"/>
      <c r="Q122" s="20"/>
      <c r="R122" s="21"/>
      <c r="S122" s="20"/>
      <c r="T122" s="20"/>
      <c r="U122" s="20"/>
      <c r="V122" s="21"/>
    </row>
    <row r="123">
      <c r="A123" s="5"/>
      <c r="B123" s="8"/>
      <c r="C123" s="20"/>
      <c r="D123" s="20"/>
      <c r="E123" s="20"/>
      <c r="F123" s="21"/>
      <c r="G123" s="20"/>
      <c r="H123" s="20"/>
      <c r="I123" s="20"/>
      <c r="J123" s="21"/>
      <c r="K123" s="20"/>
      <c r="L123" s="20"/>
      <c r="M123" s="20"/>
      <c r="N123" s="21"/>
      <c r="O123" s="20"/>
      <c r="P123" s="20"/>
      <c r="Q123" s="20"/>
      <c r="R123" s="21"/>
      <c r="S123" s="20"/>
      <c r="T123" s="20"/>
      <c r="U123" s="20"/>
      <c r="V123" s="21"/>
    </row>
    <row r="124">
      <c r="A124" s="5"/>
      <c r="B124" s="8"/>
      <c r="C124" s="20"/>
      <c r="D124" s="20"/>
      <c r="E124" s="20"/>
      <c r="F124" s="21"/>
      <c r="G124" s="20"/>
      <c r="H124" s="20"/>
      <c r="I124" s="20"/>
      <c r="J124" s="21"/>
      <c r="K124" s="20"/>
      <c r="L124" s="20"/>
      <c r="M124" s="20"/>
      <c r="N124" s="21"/>
      <c r="O124" s="20"/>
      <c r="P124" s="20"/>
      <c r="Q124" s="20"/>
      <c r="R124" s="21"/>
      <c r="S124" s="20"/>
      <c r="T124" s="20"/>
      <c r="U124" s="20"/>
      <c r="V124" s="21"/>
    </row>
    <row r="125">
      <c r="A125" s="5"/>
      <c r="B125" s="8"/>
      <c r="C125" s="20"/>
      <c r="D125" s="20"/>
      <c r="E125" s="20"/>
      <c r="F125" s="21"/>
      <c r="G125" s="20"/>
      <c r="H125" s="20"/>
      <c r="I125" s="20"/>
      <c r="J125" s="21"/>
      <c r="K125" s="20"/>
      <c r="L125" s="20"/>
      <c r="M125" s="20"/>
      <c r="N125" s="21"/>
      <c r="O125" s="20"/>
      <c r="P125" s="20"/>
      <c r="Q125" s="20"/>
      <c r="R125" s="21"/>
      <c r="S125" s="20"/>
      <c r="T125" s="20"/>
      <c r="U125" s="20"/>
      <c r="V125" s="21"/>
    </row>
    <row r="126">
      <c r="A126" s="5"/>
      <c r="B126" s="8"/>
      <c r="C126" s="20"/>
      <c r="D126" s="20"/>
      <c r="E126" s="20"/>
      <c r="F126" s="21"/>
      <c r="G126" s="20"/>
      <c r="H126" s="20"/>
      <c r="I126" s="20"/>
      <c r="J126" s="21"/>
      <c r="K126" s="20"/>
      <c r="L126" s="20"/>
      <c r="M126" s="20"/>
      <c r="N126" s="21"/>
      <c r="O126" s="20"/>
      <c r="P126" s="20"/>
      <c r="Q126" s="20"/>
      <c r="R126" s="21"/>
      <c r="S126" s="20"/>
      <c r="T126" s="20"/>
      <c r="U126" s="20"/>
      <c r="V126" s="21"/>
    </row>
    <row r="127">
      <c r="A127" s="5"/>
      <c r="B127" s="8"/>
      <c r="C127" s="20"/>
      <c r="D127" s="20"/>
      <c r="E127" s="20"/>
      <c r="F127" s="21"/>
      <c r="G127" s="20"/>
      <c r="H127" s="20"/>
      <c r="I127" s="20"/>
      <c r="J127" s="21"/>
      <c r="K127" s="20"/>
      <c r="L127" s="20"/>
      <c r="M127" s="20"/>
      <c r="N127" s="21"/>
      <c r="O127" s="20"/>
      <c r="P127" s="20"/>
      <c r="Q127" s="20"/>
      <c r="R127" s="21"/>
      <c r="S127" s="20"/>
      <c r="T127" s="20"/>
      <c r="U127" s="20"/>
      <c r="V127" s="21"/>
    </row>
    <row r="128">
      <c r="A128" s="5"/>
      <c r="B128" s="8"/>
      <c r="C128" s="20"/>
      <c r="D128" s="20"/>
      <c r="E128" s="20"/>
      <c r="F128" s="21"/>
      <c r="G128" s="20"/>
      <c r="H128" s="20"/>
      <c r="I128" s="20"/>
      <c r="J128" s="21"/>
      <c r="K128" s="20"/>
      <c r="L128" s="20"/>
      <c r="M128" s="20"/>
      <c r="N128" s="21"/>
      <c r="O128" s="20"/>
      <c r="P128" s="20"/>
      <c r="Q128" s="20"/>
      <c r="R128" s="21"/>
      <c r="S128" s="20"/>
      <c r="T128" s="20"/>
      <c r="U128" s="20"/>
      <c r="V128" s="21"/>
    </row>
    <row r="129">
      <c r="A129" s="5"/>
      <c r="B129" s="8"/>
      <c r="C129" s="20"/>
      <c r="D129" s="20"/>
      <c r="E129" s="20"/>
      <c r="F129" s="21"/>
      <c r="G129" s="20"/>
      <c r="H129" s="20"/>
      <c r="I129" s="20"/>
      <c r="J129" s="21"/>
      <c r="K129" s="20"/>
      <c r="L129" s="20"/>
      <c r="M129" s="20"/>
      <c r="N129" s="21"/>
      <c r="O129" s="20"/>
      <c r="P129" s="20"/>
      <c r="Q129" s="20"/>
      <c r="R129" s="21"/>
      <c r="S129" s="20"/>
      <c r="T129" s="20"/>
      <c r="U129" s="20"/>
      <c r="V129" s="21"/>
    </row>
    <row r="130">
      <c r="A130" s="5"/>
      <c r="B130" s="8"/>
      <c r="C130" s="20"/>
      <c r="D130" s="20"/>
      <c r="E130" s="20"/>
      <c r="F130" s="21"/>
      <c r="G130" s="20"/>
      <c r="H130" s="20"/>
      <c r="I130" s="20"/>
      <c r="J130" s="21"/>
      <c r="K130" s="20"/>
      <c r="L130" s="20"/>
      <c r="M130" s="20"/>
      <c r="N130" s="21"/>
      <c r="O130" s="20"/>
      <c r="P130" s="20"/>
      <c r="Q130" s="20"/>
      <c r="R130" s="21"/>
      <c r="S130" s="20"/>
      <c r="T130" s="20"/>
      <c r="U130" s="20"/>
      <c r="V130" s="21"/>
    </row>
    <row r="131">
      <c r="A131" s="5"/>
      <c r="B131" s="8"/>
      <c r="C131" s="20"/>
      <c r="D131" s="20"/>
      <c r="E131" s="20"/>
      <c r="F131" s="21"/>
      <c r="G131" s="20"/>
      <c r="H131" s="20"/>
      <c r="I131" s="20"/>
      <c r="J131" s="21"/>
      <c r="K131" s="20"/>
      <c r="L131" s="20"/>
      <c r="M131" s="20"/>
      <c r="N131" s="21"/>
      <c r="O131" s="20"/>
      <c r="P131" s="20"/>
      <c r="Q131" s="20"/>
      <c r="R131" s="21"/>
      <c r="S131" s="20"/>
      <c r="T131" s="20"/>
      <c r="U131" s="20"/>
      <c r="V131" s="21"/>
    </row>
    <row r="132">
      <c r="A132" s="5"/>
      <c r="B132" s="8"/>
      <c r="C132" s="20"/>
      <c r="D132" s="20"/>
      <c r="E132" s="20"/>
      <c r="F132" s="21"/>
      <c r="G132" s="20"/>
      <c r="H132" s="20"/>
      <c r="I132" s="20"/>
      <c r="J132" s="21"/>
      <c r="K132" s="20"/>
      <c r="L132" s="20"/>
      <c r="M132" s="20"/>
      <c r="N132" s="21"/>
      <c r="O132" s="20"/>
      <c r="P132" s="20"/>
      <c r="Q132" s="20"/>
      <c r="R132" s="21"/>
      <c r="S132" s="20"/>
      <c r="T132" s="20"/>
      <c r="U132" s="20"/>
      <c r="V132" s="21"/>
    </row>
    <row r="133">
      <c r="A133" s="5"/>
      <c r="B133" s="8"/>
      <c r="C133" s="20"/>
      <c r="D133" s="20"/>
      <c r="E133" s="20"/>
      <c r="F133" s="21"/>
      <c r="G133" s="20"/>
      <c r="H133" s="20"/>
      <c r="I133" s="20"/>
      <c r="J133" s="21"/>
      <c r="K133" s="20"/>
      <c r="L133" s="20"/>
      <c r="M133" s="20"/>
      <c r="N133" s="21"/>
      <c r="O133" s="20"/>
      <c r="P133" s="20"/>
      <c r="Q133" s="20"/>
      <c r="R133" s="21"/>
      <c r="S133" s="20"/>
      <c r="T133" s="20"/>
      <c r="U133" s="20"/>
      <c r="V133" s="21"/>
    </row>
    <row r="134">
      <c r="A134" s="5"/>
      <c r="B134" s="8"/>
      <c r="C134" s="20"/>
      <c r="D134" s="20"/>
      <c r="E134" s="20"/>
      <c r="F134" s="21"/>
      <c r="G134" s="20"/>
      <c r="H134" s="20"/>
      <c r="I134" s="20"/>
      <c r="J134" s="21"/>
      <c r="K134" s="20"/>
      <c r="L134" s="20"/>
      <c r="M134" s="20"/>
      <c r="N134" s="21"/>
      <c r="O134" s="20"/>
      <c r="P134" s="20"/>
      <c r="Q134" s="20"/>
      <c r="R134" s="21"/>
      <c r="S134" s="20"/>
      <c r="T134" s="20"/>
      <c r="U134" s="20"/>
      <c r="V134" s="21"/>
    </row>
    <row r="135">
      <c r="A135" s="5"/>
      <c r="B135" s="8"/>
      <c r="C135" s="20"/>
      <c r="D135" s="20"/>
      <c r="E135" s="20"/>
      <c r="F135" s="21"/>
      <c r="G135" s="20"/>
      <c r="H135" s="20"/>
      <c r="I135" s="20"/>
      <c r="J135" s="21"/>
      <c r="K135" s="20"/>
      <c r="L135" s="20"/>
      <c r="M135" s="20"/>
      <c r="N135" s="21"/>
      <c r="O135" s="20"/>
      <c r="P135" s="20"/>
      <c r="Q135" s="20"/>
      <c r="R135" s="21"/>
      <c r="S135" s="20"/>
      <c r="T135" s="20"/>
      <c r="U135" s="20"/>
      <c r="V135" s="21"/>
    </row>
    <row r="136">
      <c r="A136" s="5"/>
      <c r="B136" s="8"/>
      <c r="C136" s="20"/>
      <c r="D136" s="20"/>
      <c r="E136" s="20"/>
      <c r="F136" s="21"/>
      <c r="G136" s="20"/>
      <c r="H136" s="20"/>
      <c r="I136" s="20"/>
      <c r="J136" s="21"/>
      <c r="K136" s="20"/>
      <c r="L136" s="20"/>
      <c r="M136" s="20"/>
      <c r="N136" s="21"/>
      <c r="O136" s="20"/>
      <c r="P136" s="20"/>
      <c r="Q136" s="20"/>
      <c r="R136" s="21"/>
      <c r="S136" s="20"/>
      <c r="T136" s="20"/>
      <c r="U136" s="20"/>
      <c r="V136" s="21"/>
    </row>
    <row r="137">
      <c r="A137" s="5"/>
      <c r="B137" s="8"/>
      <c r="C137" s="20"/>
      <c r="D137" s="20"/>
      <c r="E137" s="20"/>
      <c r="F137" s="21"/>
      <c r="G137" s="20"/>
      <c r="H137" s="20"/>
      <c r="I137" s="20"/>
      <c r="J137" s="21"/>
      <c r="K137" s="20"/>
      <c r="L137" s="20"/>
      <c r="M137" s="20"/>
      <c r="N137" s="21"/>
      <c r="O137" s="20"/>
      <c r="P137" s="20"/>
      <c r="Q137" s="20"/>
      <c r="R137" s="21"/>
      <c r="S137" s="20"/>
      <c r="T137" s="20"/>
      <c r="U137" s="20"/>
      <c r="V137" s="21"/>
    </row>
    <row r="138">
      <c r="A138" s="5"/>
      <c r="B138" s="8"/>
      <c r="C138" s="20"/>
      <c r="D138" s="20"/>
      <c r="E138" s="20"/>
      <c r="F138" s="21"/>
      <c r="G138" s="20"/>
      <c r="H138" s="20"/>
      <c r="I138" s="20"/>
      <c r="J138" s="21"/>
      <c r="K138" s="20"/>
      <c r="L138" s="20"/>
      <c r="M138" s="20"/>
      <c r="N138" s="21"/>
      <c r="O138" s="20"/>
      <c r="P138" s="20"/>
      <c r="Q138" s="20"/>
      <c r="R138" s="21"/>
      <c r="S138" s="20"/>
      <c r="T138" s="20"/>
      <c r="U138" s="20"/>
      <c r="V138" s="21"/>
    </row>
    <row r="139">
      <c r="A139" s="5"/>
      <c r="B139" s="8"/>
      <c r="C139" s="20"/>
      <c r="D139" s="20"/>
      <c r="E139" s="20"/>
      <c r="F139" s="21"/>
      <c r="G139" s="20"/>
      <c r="H139" s="20"/>
      <c r="I139" s="20"/>
      <c r="J139" s="21"/>
      <c r="K139" s="20"/>
      <c r="L139" s="20"/>
      <c r="M139" s="20"/>
      <c r="N139" s="21"/>
      <c r="O139" s="20"/>
      <c r="P139" s="20"/>
      <c r="Q139" s="20"/>
      <c r="R139" s="21"/>
      <c r="S139" s="20"/>
      <c r="T139" s="20"/>
      <c r="U139" s="20"/>
      <c r="V139" s="21"/>
    </row>
    <row r="140">
      <c r="A140" s="5"/>
      <c r="B140" s="8"/>
      <c r="C140" s="20"/>
      <c r="D140" s="20"/>
      <c r="E140" s="20"/>
      <c r="F140" s="21"/>
      <c r="G140" s="20"/>
      <c r="H140" s="20"/>
      <c r="I140" s="20"/>
      <c r="J140" s="21"/>
      <c r="K140" s="20"/>
      <c r="L140" s="20"/>
      <c r="M140" s="20"/>
      <c r="N140" s="21"/>
      <c r="O140" s="20"/>
      <c r="P140" s="20"/>
      <c r="Q140" s="20"/>
      <c r="R140" s="21"/>
      <c r="S140" s="20"/>
      <c r="T140" s="20"/>
      <c r="U140" s="20"/>
      <c r="V140" s="21"/>
    </row>
    <row r="141">
      <c r="A141" s="5"/>
      <c r="B141" s="8"/>
      <c r="C141" s="20"/>
      <c r="D141" s="20"/>
      <c r="E141" s="20"/>
      <c r="F141" s="21"/>
      <c r="G141" s="20"/>
      <c r="H141" s="20"/>
      <c r="I141" s="20"/>
      <c r="J141" s="21"/>
      <c r="K141" s="20"/>
      <c r="L141" s="20"/>
      <c r="M141" s="20"/>
      <c r="N141" s="21"/>
      <c r="O141" s="20"/>
      <c r="P141" s="20"/>
      <c r="Q141" s="20"/>
      <c r="R141" s="21"/>
      <c r="S141" s="20"/>
      <c r="T141" s="20"/>
      <c r="U141" s="20"/>
      <c r="V141" s="21"/>
    </row>
    <row r="142">
      <c r="A142" s="5"/>
      <c r="B142" s="8"/>
      <c r="C142" s="20"/>
      <c r="D142" s="20"/>
      <c r="E142" s="20"/>
      <c r="F142" s="21"/>
      <c r="G142" s="20"/>
      <c r="H142" s="20"/>
      <c r="I142" s="20"/>
      <c r="J142" s="21"/>
      <c r="K142" s="20"/>
      <c r="L142" s="20"/>
      <c r="M142" s="20"/>
      <c r="N142" s="21"/>
      <c r="O142" s="20"/>
      <c r="P142" s="20"/>
      <c r="Q142" s="20"/>
      <c r="R142" s="21"/>
      <c r="S142" s="20"/>
      <c r="T142" s="20"/>
      <c r="U142" s="20"/>
      <c r="V142" s="21"/>
    </row>
    <row r="143">
      <c r="A143" s="5"/>
      <c r="B143" s="8"/>
      <c r="C143" s="20"/>
      <c r="D143" s="20"/>
      <c r="E143" s="20"/>
      <c r="F143" s="21"/>
      <c r="G143" s="20"/>
      <c r="H143" s="20"/>
      <c r="I143" s="20"/>
      <c r="J143" s="21"/>
      <c r="K143" s="20"/>
      <c r="L143" s="20"/>
      <c r="M143" s="20"/>
      <c r="N143" s="21"/>
      <c r="O143" s="20"/>
      <c r="P143" s="20"/>
      <c r="Q143" s="20"/>
      <c r="R143" s="21"/>
      <c r="S143" s="20"/>
      <c r="T143" s="20"/>
      <c r="U143" s="20"/>
      <c r="V143" s="21"/>
    </row>
    <row r="144">
      <c r="A144" s="5"/>
      <c r="B144" s="8"/>
      <c r="C144" s="20"/>
      <c r="D144" s="20"/>
      <c r="E144" s="20"/>
      <c r="F144" s="21"/>
      <c r="G144" s="20"/>
      <c r="H144" s="20"/>
      <c r="I144" s="20"/>
      <c r="J144" s="21"/>
      <c r="K144" s="20"/>
      <c r="L144" s="20"/>
      <c r="M144" s="20"/>
      <c r="N144" s="21"/>
      <c r="O144" s="20"/>
      <c r="P144" s="20"/>
      <c r="Q144" s="20"/>
      <c r="R144" s="21"/>
      <c r="S144" s="20"/>
      <c r="T144" s="20"/>
      <c r="U144" s="20"/>
      <c r="V144" s="21"/>
    </row>
    <row r="145">
      <c r="A145" s="5"/>
      <c r="B145" s="8"/>
      <c r="C145" s="20"/>
      <c r="D145" s="20"/>
      <c r="E145" s="20"/>
      <c r="F145" s="21"/>
      <c r="G145" s="20"/>
      <c r="H145" s="20"/>
      <c r="I145" s="20"/>
      <c r="J145" s="21"/>
      <c r="K145" s="20"/>
      <c r="L145" s="20"/>
      <c r="M145" s="20"/>
      <c r="N145" s="21"/>
      <c r="O145" s="20"/>
      <c r="P145" s="20"/>
      <c r="Q145" s="20"/>
      <c r="R145" s="21"/>
      <c r="S145" s="20"/>
      <c r="T145" s="20"/>
      <c r="U145" s="20"/>
      <c r="V145" s="21"/>
    </row>
    <row r="146">
      <c r="A146" s="5"/>
      <c r="B146" s="8"/>
      <c r="C146" s="20"/>
      <c r="D146" s="20"/>
      <c r="E146" s="20"/>
      <c r="F146" s="21"/>
      <c r="G146" s="20"/>
      <c r="H146" s="20"/>
      <c r="I146" s="20"/>
      <c r="J146" s="21"/>
      <c r="K146" s="20"/>
      <c r="L146" s="20"/>
      <c r="M146" s="20"/>
      <c r="N146" s="21"/>
      <c r="O146" s="20"/>
      <c r="P146" s="20"/>
      <c r="Q146" s="20"/>
      <c r="R146" s="21"/>
      <c r="S146" s="20"/>
      <c r="T146" s="20"/>
      <c r="U146" s="20"/>
      <c r="V146" s="21"/>
    </row>
    <row r="147">
      <c r="A147" s="5"/>
      <c r="B147" s="8"/>
      <c r="C147" s="20"/>
      <c r="D147" s="20"/>
      <c r="E147" s="20"/>
      <c r="F147" s="21"/>
      <c r="G147" s="20"/>
      <c r="H147" s="20"/>
      <c r="I147" s="20"/>
      <c r="J147" s="21"/>
      <c r="K147" s="20"/>
      <c r="L147" s="20"/>
      <c r="M147" s="20"/>
      <c r="N147" s="21"/>
      <c r="O147" s="20"/>
      <c r="P147" s="20"/>
      <c r="Q147" s="20"/>
      <c r="R147" s="21"/>
      <c r="S147" s="20"/>
      <c r="T147" s="20"/>
      <c r="U147" s="20"/>
      <c r="V147" s="21"/>
    </row>
    <row r="148">
      <c r="A148" s="5"/>
      <c r="B148" s="8"/>
      <c r="C148" s="20"/>
      <c r="D148" s="20"/>
      <c r="E148" s="20"/>
      <c r="F148" s="21"/>
      <c r="G148" s="20"/>
      <c r="H148" s="20"/>
      <c r="I148" s="20"/>
      <c r="J148" s="21"/>
      <c r="K148" s="20"/>
      <c r="L148" s="20"/>
      <c r="M148" s="20"/>
      <c r="N148" s="21"/>
      <c r="O148" s="20"/>
      <c r="P148" s="20"/>
      <c r="Q148" s="20"/>
      <c r="R148" s="21"/>
      <c r="S148" s="20"/>
      <c r="T148" s="20"/>
      <c r="U148" s="20"/>
      <c r="V148" s="21"/>
    </row>
    <row r="149">
      <c r="A149" s="5"/>
      <c r="B149" s="8"/>
      <c r="C149" s="20"/>
      <c r="D149" s="20"/>
      <c r="E149" s="20"/>
      <c r="F149" s="21"/>
      <c r="G149" s="20"/>
      <c r="H149" s="20"/>
      <c r="I149" s="20"/>
      <c r="J149" s="21"/>
      <c r="K149" s="20"/>
      <c r="L149" s="20"/>
      <c r="M149" s="20"/>
      <c r="N149" s="21"/>
      <c r="O149" s="20"/>
      <c r="P149" s="20"/>
      <c r="Q149" s="20"/>
      <c r="R149" s="21"/>
      <c r="S149" s="20"/>
      <c r="T149" s="20"/>
      <c r="U149" s="20"/>
      <c r="V149" s="21"/>
    </row>
    <row r="150">
      <c r="A150" s="5"/>
      <c r="B150" s="8"/>
      <c r="C150" s="20"/>
      <c r="D150" s="20"/>
      <c r="E150" s="20"/>
      <c r="F150" s="21"/>
      <c r="G150" s="20"/>
      <c r="H150" s="20"/>
      <c r="I150" s="20"/>
      <c r="J150" s="21"/>
      <c r="K150" s="20"/>
      <c r="L150" s="20"/>
      <c r="M150" s="20"/>
      <c r="N150" s="21"/>
      <c r="O150" s="20"/>
      <c r="P150" s="20"/>
      <c r="Q150" s="20"/>
      <c r="R150" s="21"/>
      <c r="S150" s="20"/>
      <c r="T150" s="20"/>
      <c r="U150" s="20"/>
      <c r="V150" s="21"/>
    </row>
    <row r="151">
      <c r="A151" s="5"/>
      <c r="B151" s="8"/>
      <c r="C151" s="20"/>
      <c r="D151" s="20"/>
      <c r="E151" s="20"/>
      <c r="F151" s="21"/>
      <c r="G151" s="20"/>
      <c r="H151" s="20"/>
      <c r="I151" s="20"/>
      <c r="J151" s="21"/>
      <c r="K151" s="20"/>
      <c r="L151" s="20"/>
      <c r="M151" s="20"/>
      <c r="N151" s="21"/>
      <c r="O151" s="20"/>
      <c r="P151" s="20"/>
      <c r="Q151" s="20"/>
      <c r="R151" s="21"/>
      <c r="S151" s="20"/>
      <c r="T151" s="20"/>
      <c r="U151" s="20"/>
      <c r="V151" s="21"/>
    </row>
    <row r="152">
      <c r="A152" s="5"/>
      <c r="B152" s="8"/>
      <c r="C152" s="20"/>
      <c r="D152" s="20"/>
      <c r="E152" s="20"/>
      <c r="F152" s="21"/>
      <c r="G152" s="20"/>
      <c r="H152" s="20"/>
      <c r="I152" s="20"/>
      <c r="J152" s="21"/>
      <c r="K152" s="20"/>
      <c r="L152" s="20"/>
      <c r="M152" s="20"/>
      <c r="N152" s="21"/>
      <c r="O152" s="20"/>
      <c r="P152" s="20"/>
      <c r="Q152" s="20"/>
      <c r="R152" s="21"/>
      <c r="S152" s="20"/>
      <c r="T152" s="20"/>
      <c r="U152" s="20"/>
      <c r="V152" s="21"/>
    </row>
    <row r="153">
      <c r="A153" s="5"/>
      <c r="B153" s="8"/>
      <c r="C153" s="20"/>
      <c r="D153" s="20"/>
      <c r="E153" s="20"/>
      <c r="F153" s="21"/>
      <c r="G153" s="20"/>
      <c r="H153" s="20"/>
      <c r="I153" s="20"/>
      <c r="J153" s="21"/>
      <c r="K153" s="20"/>
      <c r="L153" s="20"/>
      <c r="M153" s="20"/>
      <c r="N153" s="21"/>
      <c r="O153" s="20"/>
      <c r="P153" s="20"/>
      <c r="Q153" s="20"/>
      <c r="R153" s="21"/>
      <c r="S153" s="20"/>
      <c r="T153" s="20"/>
      <c r="U153" s="20"/>
      <c r="V153" s="21"/>
    </row>
    <row r="154">
      <c r="A154" s="5"/>
      <c r="B154" s="8"/>
      <c r="C154" s="20"/>
      <c r="D154" s="20"/>
      <c r="E154" s="20"/>
      <c r="F154" s="21"/>
      <c r="G154" s="20"/>
      <c r="H154" s="20"/>
      <c r="I154" s="20"/>
      <c r="J154" s="21"/>
      <c r="K154" s="20"/>
      <c r="L154" s="20"/>
      <c r="M154" s="20"/>
      <c r="N154" s="21"/>
      <c r="O154" s="20"/>
      <c r="P154" s="20"/>
      <c r="Q154" s="20"/>
      <c r="R154" s="21"/>
      <c r="S154" s="20"/>
      <c r="T154" s="20"/>
      <c r="U154" s="20"/>
      <c r="V154" s="21"/>
    </row>
    <row r="155">
      <c r="A155" s="5"/>
      <c r="B155" s="8"/>
      <c r="C155" s="20"/>
      <c r="D155" s="20"/>
      <c r="E155" s="20"/>
      <c r="F155" s="21"/>
      <c r="G155" s="20"/>
      <c r="H155" s="20"/>
      <c r="I155" s="20"/>
      <c r="J155" s="21"/>
      <c r="K155" s="20"/>
      <c r="L155" s="20"/>
      <c r="M155" s="20"/>
      <c r="N155" s="21"/>
      <c r="O155" s="20"/>
      <c r="P155" s="20"/>
      <c r="Q155" s="20"/>
      <c r="R155" s="21"/>
      <c r="S155" s="20"/>
      <c r="T155" s="20"/>
      <c r="U155" s="20"/>
      <c r="V155" s="21"/>
    </row>
    <row r="156">
      <c r="A156" s="5"/>
      <c r="B156" s="8"/>
      <c r="C156" s="20"/>
      <c r="D156" s="20"/>
      <c r="E156" s="20"/>
      <c r="F156" s="21"/>
      <c r="G156" s="20"/>
      <c r="H156" s="20"/>
      <c r="I156" s="20"/>
      <c r="J156" s="21"/>
      <c r="K156" s="20"/>
      <c r="L156" s="20"/>
      <c r="M156" s="20"/>
      <c r="N156" s="21"/>
      <c r="O156" s="20"/>
      <c r="P156" s="20"/>
      <c r="Q156" s="20"/>
      <c r="R156" s="21"/>
      <c r="S156" s="20"/>
      <c r="T156" s="20"/>
      <c r="U156" s="20"/>
      <c r="V156" s="21"/>
    </row>
    <row r="157">
      <c r="A157" s="5"/>
      <c r="B157" s="8"/>
      <c r="C157" s="20"/>
      <c r="D157" s="20"/>
      <c r="E157" s="20"/>
      <c r="F157" s="21"/>
      <c r="G157" s="20"/>
      <c r="H157" s="20"/>
      <c r="I157" s="20"/>
      <c r="J157" s="21"/>
      <c r="K157" s="20"/>
      <c r="L157" s="20"/>
      <c r="M157" s="20"/>
      <c r="N157" s="21"/>
      <c r="O157" s="20"/>
      <c r="P157" s="20"/>
      <c r="Q157" s="20"/>
      <c r="R157" s="21"/>
      <c r="S157" s="20"/>
      <c r="T157" s="20"/>
      <c r="U157" s="20"/>
      <c r="V157" s="21"/>
    </row>
    <row r="158">
      <c r="A158" s="5"/>
      <c r="B158" s="8"/>
      <c r="C158" s="20"/>
      <c r="D158" s="20"/>
      <c r="E158" s="20"/>
      <c r="F158" s="21"/>
      <c r="G158" s="20"/>
      <c r="H158" s="20"/>
      <c r="I158" s="20"/>
      <c r="J158" s="21"/>
      <c r="K158" s="20"/>
      <c r="L158" s="20"/>
      <c r="M158" s="20"/>
      <c r="N158" s="21"/>
      <c r="O158" s="20"/>
      <c r="P158" s="20"/>
      <c r="Q158" s="20"/>
      <c r="R158" s="21"/>
      <c r="S158" s="20"/>
      <c r="T158" s="20"/>
      <c r="U158" s="20"/>
      <c r="V158" s="21"/>
    </row>
    <row r="159">
      <c r="A159" s="5"/>
      <c r="B159" s="8"/>
      <c r="C159" s="20"/>
      <c r="D159" s="20"/>
      <c r="E159" s="20"/>
      <c r="F159" s="21"/>
      <c r="G159" s="20"/>
      <c r="H159" s="20"/>
      <c r="I159" s="20"/>
      <c r="J159" s="21"/>
      <c r="K159" s="20"/>
      <c r="L159" s="20"/>
      <c r="M159" s="20"/>
      <c r="N159" s="21"/>
      <c r="O159" s="20"/>
      <c r="P159" s="20"/>
      <c r="Q159" s="20"/>
      <c r="R159" s="21"/>
      <c r="S159" s="20"/>
      <c r="T159" s="20"/>
      <c r="U159" s="20"/>
      <c r="V159" s="21"/>
    </row>
    <row r="160">
      <c r="A160" s="5"/>
      <c r="B160" s="8"/>
      <c r="C160" s="20"/>
      <c r="D160" s="20"/>
      <c r="E160" s="20"/>
      <c r="F160" s="21"/>
      <c r="G160" s="20"/>
      <c r="H160" s="20"/>
      <c r="I160" s="20"/>
      <c r="J160" s="21"/>
      <c r="K160" s="20"/>
      <c r="L160" s="20"/>
      <c r="M160" s="20"/>
      <c r="N160" s="21"/>
      <c r="O160" s="20"/>
      <c r="P160" s="20"/>
      <c r="Q160" s="20"/>
      <c r="R160" s="21"/>
      <c r="S160" s="20"/>
      <c r="T160" s="20"/>
      <c r="U160" s="20"/>
      <c r="V160" s="21"/>
    </row>
    <row r="161">
      <c r="A161" s="5"/>
      <c r="B161" s="8"/>
      <c r="C161" s="20"/>
      <c r="D161" s="20"/>
      <c r="E161" s="20"/>
      <c r="F161" s="21"/>
      <c r="G161" s="20"/>
      <c r="H161" s="20"/>
      <c r="I161" s="20"/>
      <c r="J161" s="21"/>
      <c r="K161" s="20"/>
      <c r="L161" s="20"/>
      <c r="M161" s="20"/>
      <c r="N161" s="21"/>
      <c r="O161" s="20"/>
      <c r="P161" s="20"/>
      <c r="Q161" s="20"/>
      <c r="R161" s="21"/>
      <c r="S161" s="20"/>
      <c r="T161" s="20"/>
      <c r="U161" s="20"/>
      <c r="V161" s="21"/>
    </row>
    <row r="162">
      <c r="A162" s="5"/>
      <c r="B162" s="8"/>
      <c r="C162" s="20"/>
      <c r="D162" s="20"/>
      <c r="E162" s="20"/>
      <c r="F162" s="21"/>
      <c r="G162" s="20"/>
      <c r="H162" s="20"/>
      <c r="I162" s="20"/>
      <c r="J162" s="21"/>
      <c r="K162" s="20"/>
      <c r="L162" s="20"/>
      <c r="M162" s="20"/>
      <c r="N162" s="21"/>
      <c r="O162" s="20"/>
      <c r="P162" s="20"/>
      <c r="Q162" s="20"/>
      <c r="R162" s="21"/>
      <c r="S162" s="20"/>
      <c r="T162" s="20"/>
      <c r="U162" s="20"/>
      <c r="V162" s="21"/>
    </row>
    <row r="163">
      <c r="A163" s="5"/>
      <c r="B163" s="8"/>
      <c r="C163" s="20"/>
      <c r="D163" s="20"/>
      <c r="E163" s="20"/>
      <c r="F163" s="21"/>
      <c r="G163" s="20"/>
      <c r="H163" s="20"/>
      <c r="I163" s="20"/>
      <c r="J163" s="21"/>
      <c r="K163" s="20"/>
      <c r="L163" s="20"/>
      <c r="M163" s="20"/>
      <c r="N163" s="21"/>
      <c r="O163" s="20"/>
      <c r="P163" s="20"/>
      <c r="Q163" s="20"/>
      <c r="R163" s="21"/>
      <c r="S163" s="20"/>
      <c r="T163" s="20"/>
      <c r="U163" s="20"/>
      <c r="V163" s="21"/>
    </row>
    <row r="164">
      <c r="A164" s="5"/>
      <c r="B164" s="8"/>
      <c r="C164" s="20"/>
      <c r="D164" s="20"/>
      <c r="E164" s="20"/>
      <c r="F164" s="21"/>
      <c r="G164" s="20"/>
      <c r="H164" s="20"/>
      <c r="I164" s="20"/>
      <c r="J164" s="21"/>
      <c r="K164" s="20"/>
      <c r="L164" s="20"/>
      <c r="M164" s="20"/>
      <c r="N164" s="21"/>
      <c r="O164" s="20"/>
      <c r="P164" s="20"/>
      <c r="Q164" s="20"/>
      <c r="R164" s="21"/>
      <c r="S164" s="20"/>
      <c r="T164" s="20"/>
      <c r="U164" s="20"/>
      <c r="V164" s="21"/>
    </row>
    <row r="165">
      <c r="A165" s="5"/>
      <c r="B165" s="8"/>
      <c r="C165" s="20"/>
      <c r="D165" s="20"/>
      <c r="E165" s="20"/>
      <c r="F165" s="21"/>
      <c r="G165" s="20"/>
      <c r="H165" s="20"/>
      <c r="I165" s="20"/>
      <c r="J165" s="21"/>
      <c r="K165" s="20"/>
      <c r="L165" s="20"/>
      <c r="M165" s="20"/>
      <c r="N165" s="21"/>
      <c r="O165" s="20"/>
      <c r="P165" s="20"/>
      <c r="Q165" s="20"/>
      <c r="R165" s="21"/>
      <c r="S165" s="20"/>
      <c r="T165" s="20"/>
      <c r="U165" s="20"/>
      <c r="V165" s="21"/>
    </row>
    <row r="166">
      <c r="A166" s="5"/>
      <c r="B166" s="8"/>
      <c r="C166" s="20"/>
      <c r="D166" s="20"/>
      <c r="E166" s="20"/>
      <c r="F166" s="21"/>
      <c r="G166" s="20"/>
      <c r="H166" s="20"/>
      <c r="I166" s="20"/>
      <c r="J166" s="21"/>
      <c r="K166" s="20"/>
      <c r="L166" s="20"/>
      <c r="M166" s="20"/>
      <c r="N166" s="21"/>
      <c r="O166" s="20"/>
      <c r="P166" s="20"/>
      <c r="Q166" s="20"/>
      <c r="R166" s="21"/>
      <c r="S166" s="20"/>
      <c r="T166" s="20"/>
      <c r="U166" s="20"/>
      <c r="V166" s="21"/>
    </row>
    <row r="167">
      <c r="A167" s="5"/>
      <c r="B167" s="8"/>
      <c r="C167" s="20"/>
      <c r="D167" s="20"/>
      <c r="E167" s="20"/>
      <c r="F167" s="21"/>
      <c r="G167" s="20"/>
      <c r="H167" s="20"/>
      <c r="I167" s="20"/>
      <c r="J167" s="21"/>
      <c r="K167" s="20"/>
      <c r="L167" s="20"/>
      <c r="M167" s="20"/>
      <c r="N167" s="21"/>
      <c r="O167" s="20"/>
      <c r="P167" s="20"/>
      <c r="Q167" s="20"/>
      <c r="R167" s="21"/>
      <c r="S167" s="20"/>
      <c r="T167" s="20"/>
      <c r="U167" s="20"/>
      <c r="V167" s="21"/>
    </row>
    <row r="168">
      <c r="A168" s="5"/>
      <c r="B168" s="8"/>
      <c r="C168" s="20"/>
      <c r="D168" s="20"/>
      <c r="E168" s="20"/>
      <c r="F168" s="21"/>
      <c r="G168" s="20"/>
      <c r="H168" s="20"/>
      <c r="I168" s="20"/>
      <c r="J168" s="21"/>
      <c r="K168" s="20"/>
      <c r="L168" s="20"/>
      <c r="M168" s="20"/>
      <c r="N168" s="21"/>
      <c r="O168" s="20"/>
      <c r="P168" s="20"/>
      <c r="Q168" s="20"/>
      <c r="R168" s="21"/>
      <c r="S168" s="20"/>
      <c r="T168" s="20"/>
      <c r="U168" s="20"/>
      <c r="V168" s="21"/>
    </row>
    <row r="169">
      <c r="A169" s="5"/>
      <c r="B169" s="8"/>
      <c r="C169" s="20"/>
      <c r="D169" s="20"/>
      <c r="E169" s="20"/>
      <c r="F169" s="21"/>
      <c r="G169" s="20"/>
      <c r="H169" s="20"/>
      <c r="I169" s="20"/>
      <c r="J169" s="21"/>
      <c r="K169" s="20"/>
      <c r="L169" s="20"/>
      <c r="M169" s="20"/>
      <c r="N169" s="21"/>
      <c r="O169" s="20"/>
      <c r="P169" s="20"/>
      <c r="Q169" s="20"/>
      <c r="R169" s="21"/>
      <c r="S169" s="20"/>
      <c r="T169" s="20"/>
      <c r="U169" s="20"/>
      <c r="V169" s="21"/>
    </row>
    <row r="170">
      <c r="A170" s="5"/>
      <c r="B170" s="8"/>
      <c r="C170" s="20"/>
      <c r="D170" s="20"/>
      <c r="E170" s="20"/>
      <c r="F170" s="21"/>
      <c r="G170" s="20"/>
      <c r="H170" s="20"/>
      <c r="I170" s="20"/>
      <c r="J170" s="21"/>
      <c r="K170" s="20"/>
      <c r="L170" s="20"/>
      <c r="M170" s="20"/>
      <c r="N170" s="21"/>
      <c r="O170" s="20"/>
      <c r="P170" s="20"/>
      <c r="Q170" s="20"/>
      <c r="R170" s="21"/>
      <c r="S170" s="20"/>
      <c r="T170" s="20"/>
      <c r="U170" s="20"/>
      <c r="V170" s="21"/>
    </row>
    <row r="171">
      <c r="A171" s="5"/>
      <c r="B171" s="8"/>
      <c r="C171" s="20"/>
      <c r="D171" s="20"/>
      <c r="E171" s="20"/>
      <c r="F171" s="21"/>
      <c r="G171" s="20"/>
      <c r="H171" s="20"/>
      <c r="I171" s="20"/>
      <c r="J171" s="21"/>
      <c r="K171" s="20"/>
      <c r="L171" s="20"/>
      <c r="M171" s="20"/>
      <c r="N171" s="21"/>
      <c r="O171" s="20"/>
      <c r="P171" s="20"/>
      <c r="Q171" s="20"/>
      <c r="R171" s="21"/>
      <c r="S171" s="20"/>
      <c r="T171" s="20"/>
      <c r="U171" s="20"/>
      <c r="V171" s="21"/>
    </row>
    <row r="172">
      <c r="A172" s="5"/>
      <c r="B172" s="8"/>
      <c r="C172" s="20"/>
      <c r="D172" s="20"/>
      <c r="E172" s="20"/>
      <c r="F172" s="21"/>
      <c r="G172" s="20"/>
      <c r="H172" s="20"/>
      <c r="I172" s="20"/>
      <c r="J172" s="21"/>
      <c r="K172" s="20"/>
      <c r="L172" s="20"/>
      <c r="M172" s="20"/>
      <c r="N172" s="21"/>
      <c r="O172" s="20"/>
      <c r="P172" s="20"/>
      <c r="Q172" s="20"/>
      <c r="R172" s="21"/>
      <c r="S172" s="20"/>
      <c r="T172" s="20"/>
      <c r="U172" s="20"/>
      <c r="V172" s="21"/>
    </row>
    <row r="173">
      <c r="A173" s="5"/>
      <c r="B173" s="8"/>
      <c r="C173" s="20"/>
      <c r="D173" s="20"/>
      <c r="E173" s="20"/>
      <c r="F173" s="21"/>
      <c r="G173" s="20"/>
      <c r="H173" s="20"/>
      <c r="I173" s="20"/>
      <c r="J173" s="21"/>
      <c r="K173" s="20"/>
      <c r="L173" s="20"/>
      <c r="M173" s="20"/>
      <c r="N173" s="21"/>
      <c r="O173" s="20"/>
      <c r="P173" s="20"/>
      <c r="Q173" s="20"/>
      <c r="R173" s="21"/>
      <c r="S173" s="20"/>
      <c r="T173" s="20"/>
      <c r="U173" s="20"/>
      <c r="V173" s="21"/>
    </row>
    <row r="174">
      <c r="A174" s="5"/>
      <c r="B174" s="8"/>
      <c r="C174" s="20"/>
      <c r="D174" s="20"/>
      <c r="E174" s="20"/>
      <c r="F174" s="21"/>
      <c r="G174" s="20"/>
      <c r="H174" s="20"/>
      <c r="I174" s="20"/>
      <c r="J174" s="21"/>
      <c r="K174" s="20"/>
      <c r="L174" s="20"/>
      <c r="M174" s="20"/>
      <c r="N174" s="21"/>
      <c r="O174" s="20"/>
      <c r="P174" s="20"/>
      <c r="Q174" s="20"/>
      <c r="R174" s="21"/>
      <c r="S174" s="20"/>
      <c r="T174" s="20"/>
      <c r="U174" s="20"/>
      <c r="V174" s="21"/>
    </row>
    <row r="175">
      <c r="A175" s="5"/>
      <c r="B175" s="8"/>
      <c r="C175" s="20"/>
      <c r="D175" s="20"/>
      <c r="E175" s="20"/>
      <c r="F175" s="21"/>
      <c r="G175" s="20"/>
      <c r="H175" s="20"/>
      <c r="I175" s="20"/>
      <c r="J175" s="21"/>
      <c r="K175" s="20"/>
      <c r="L175" s="20"/>
      <c r="M175" s="20"/>
      <c r="N175" s="21"/>
      <c r="O175" s="20"/>
      <c r="P175" s="20"/>
      <c r="Q175" s="20"/>
      <c r="R175" s="21"/>
      <c r="S175" s="20"/>
      <c r="T175" s="20"/>
      <c r="U175" s="20"/>
      <c r="V175" s="21"/>
    </row>
    <row r="176">
      <c r="A176" s="5"/>
      <c r="B176" s="8"/>
      <c r="C176" s="20"/>
      <c r="D176" s="20"/>
      <c r="E176" s="20"/>
      <c r="F176" s="21"/>
      <c r="G176" s="20"/>
      <c r="H176" s="20"/>
      <c r="I176" s="20"/>
      <c r="J176" s="21"/>
      <c r="K176" s="20"/>
      <c r="L176" s="20"/>
      <c r="M176" s="20"/>
      <c r="N176" s="21"/>
      <c r="O176" s="20"/>
      <c r="P176" s="20"/>
      <c r="Q176" s="20"/>
      <c r="R176" s="21"/>
      <c r="S176" s="20"/>
      <c r="T176" s="20"/>
      <c r="U176" s="20"/>
      <c r="V176" s="21"/>
    </row>
    <row r="177">
      <c r="A177" s="5"/>
      <c r="B177" s="8"/>
      <c r="C177" s="20"/>
      <c r="D177" s="20"/>
      <c r="E177" s="20"/>
      <c r="F177" s="21"/>
      <c r="G177" s="20"/>
      <c r="H177" s="20"/>
      <c r="I177" s="20"/>
      <c r="J177" s="21"/>
      <c r="K177" s="20"/>
      <c r="L177" s="20"/>
      <c r="M177" s="20"/>
      <c r="N177" s="21"/>
      <c r="O177" s="20"/>
      <c r="P177" s="20"/>
      <c r="Q177" s="20"/>
      <c r="R177" s="21"/>
      <c r="S177" s="20"/>
      <c r="T177" s="20"/>
      <c r="U177" s="20"/>
      <c r="V177" s="21"/>
    </row>
    <row r="178">
      <c r="A178" s="5"/>
      <c r="B178" s="8"/>
      <c r="C178" s="20"/>
      <c r="D178" s="20"/>
      <c r="E178" s="20"/>
      <c r="F178" s="21"/>
      <c r="G178" s="20"/>
      <c r="H178" s="20"/>
      <c r="I178" s="20"/>
      <c r="J178" s="21"/>
      <c r="K178" s="20"/>
      <c r="L178" s="20"/>
      <c r="M178" s="20"/>
      <c r="N178" s="21"/>
      <c r="O178" s="20"/>
      <c r="P178" s="20"/>
      <c r="Q178" s="20"/>
      <c r="R178" s="21"/>
      <c r="S178" s="20"/>
      <c r="T178" s="20"/>
      <c r="U178" s="20"/>
      <c r="V178" s="21"/>
    </row>
    <row r="179">
      <c r="A179" s="5"/>
      <c r="B179" s="8"/>
      <c r="C179" s="20"/>
      <c r="D179" s="20"/>
      <c r="E179" s="20"/>
      <c r="F179" s="21"/>
      <c r="G179" s="20"/>
      <c r="H179" s="20"/>
      <c r="I179" s="20"/>
      <c r="J179" s="21"/>
      <c r="K179" s="20"/>
      <c r="L179" s="20"/>
      <c r="M179" s="20"/>
      <c r="N179" s="21"/>
      <c r="O179" s="20"/>
      <c r="P179" s="20"/>
      <c r="Q179" s="20"/>
      <c r="R179" s="21"/>
      <c r="S179" s="20"/>
      <c r="T179" s="20"/>
      <c r="U179" s="20"/>
      <c r="V179" s="21"/>
    </row>
    <row r="180">
      <c r="A180" s="5"/>
      <c r="B180" s="8"/>
      <c r="C180" s="20"/>
      <c r="D180" s="20"/>
      <c r="E180" s="20"/>
      <c r="F180" s="21"/>
      <c r="G180" s="20"/>
      <c r="H180" s="20"/>
      <c r="I180" s="20"/>
      <c r="J180" s="21"/>
      <c r="K180" s="20"/>
      <c r="L180" s="20"/>
      <c r="M180" s="20"/>
      <c r="N180" s="21"/>
      <c r="O180" s="20"/>
      <c r="P180" s="20"/>
      <c r="Q180" s="20"/>
      <c r="R180" s="21"/>
      <c r="S180" s="20"/>
      <c r="T180" s="20"/>
      <c r="U180" s="20"/>
      <c r="V180" s="21"/>
    </row>
    <row r="181">
      <c r="A181" s="5"/>
      <c r="B181" s="8"/>
      <c r="C181" s="20"/>
      <c r="D181" s="20"/>
      <c r="E181" s="20"/>
      <c r="F181" s="21"/>
      <c r="G181" s="20"/>
      <c r="H181" s="20"/>
      <c r="I181" s="20"/>
      <c r="J181" s="21"/>
      <c r="K181" s="20"/>
      <c r="L181" s="20"/>
      <c r="M181" s="20"/>
      <c r="N181" s="21"/>
      <c r="O181" s="20"/>
      <c r="P181" s="20"/>
      <c r="Q181" s="20"/>
      <c r="R181" s="21"/>
      <c r="S181" s="20"/>
      <c r="T181" s="20"/>
      <c r="U181" s="20"/>
      <c r="V181" s="21"/>
    </row>
    <row r="182">
      <c r="A182" s="5"/>
      <c r="B182" s="8"/>
      <c r="C182" s="20"/>
      <c r="D182" s="20"/>
      <c r="E182" s="20"/>
      <c r="F182" s="21"/>
      <c r="G182" s="20"/>
      <c r="H182" s="20"/>
      <c r="I182" s="20"/>
      <c r="J182" s="21"/>
      <c r="K182" s="20"/>
      <c r="L182" s="20"/>
      <c r="M182" s="20"/>
      <c r="N182" s="21"/>
      <c r="O182" s="20"/>
      <c r="P182" s="20"/>
      <c r="Q182" s="20"/>
      <c r="R182" s="21"/>
      <c r="S182" s="20"/>
      <c r="T182" s="20"/>
      <c r="U182" s="20"/>
      <c r="V182" s="21"/>
    </row>
    <row r="183">
      <c r="A183" s="5"/>
      <c r="B183" s="8"/>
      <c r="C183" s="20"/>
      <c r="D183" s="20"/>
      <c r="E183" s="20"/>
      <c r="F183" s="21"/>
      <c r="G183" s="20"/>
      <c r="H183" s="20"/>
      <c r="I183" s="20"/>
      <c r="J183" s="21"/>
      <c r="K183" s="20"/>
      <c r="L183" s="20"/>
      <c r="M183" s="20"/>
      <c r="N183" s="21"/>
      <c r="O183" s="20"/>
      <c r="P183" s="20"/>
      <c r="Q183" s="20"/>
      <c r="R183" s="21"/>
      <c r="S183" s="20"/>
      <c r="T183" s="20"/>
      <c r="U183" s="20"/>
      <c r="V183" s="21"/>
    </row>
    <row r="184">
      <c r="A184" s="5"/>
      <c r="B184" s="8"/>
      <c r="C184" s="20"/>
      <c r="D184" s="20"/>
      <c r="E184" s="20"/>
      <c r="F184" s="21"/>
      <c r="G184" s="20"/>
      <c r="H184" s="20"/>
      <c r="I184" s="20"/>
      <c r="J184" s="21"/>
      <c r="K184" s="20"/>
      <c r="L184" s="20"/>
      <c r="M184" s="20"/>
      <c r="N184" s="21"/>
      <c r="O184" s="20"/>
      <c r="P184" s="20"/>
      <c r="Q184" s="20"/>
      <c r="R184" s="21"/>
      <c r="S184" s="20"/>
      <c r="T184" s="20"/>
      <c r="U184" s="20"/>
      <c r="V184" s="21"/>
    </row>
    <row r="185">
      <c r="A185" s="5"/>
      <c r="B185" s="8"/>
      <c r="C185" s="20"/>
      <c r="D185" s="20"/>
      <c r="E185" s="20"/>
      <c r="F185" s="21"/>
      <c r="G185" s="20"/>
      <c r="H185" s="20"/>
      <c r="I185" s="20"/>
      <c r="J185" s="21"/>
      <c r="K185" s="20"/>
      <c r="L185" s="20"/>
      <c r="M185" s="20"/>
      <c r="N185" s="21"/>
      <c r="O185" s="20"/>
      <c r="P185" s="20"/>
      <c r="Q185" s="20"/>
      <c r="R185" s="21"/>
      <c r="S185" s="20"/>
      <c r="T185" s="20"/>
      <c r="U185" s="20"/>
      <c r="V185" s="21"/>
    </row>
    <row r="186">
      <c r="A186" s="5"/>
      <c r="B186" s="8"/>
      <c r="C186" s="20"/>
      <c r="D186" s="20"/>
      <c r="E186" s="20"/>
      <c r="F186" s="21"/>
      <c r="G186" s="20"/>
      <c r="H186" s="20"/>
      <c r="I186" s="20"/>
      <c r="J186" s="21"/>
      <c r="K186" s="20"/>
      <c r="L186" s="20"/>
      <c r="M186" s="20"/>
      <c r="N186" s="21"/>
      <c r="O186" s="20"/>
      <c r="P186" s="20"/>
      <c r="Q186" s="20"/>
      <c r="R186" s="21"/>
      <c r="S186" s="20"/>
      <c r="T186" s="20"/>
      <c r="U186" s="20"/>
      <c r="V186" s="21"/>
    </row>
    <row r="187">
      <c r="A187" s="5"/>
      <c r="B187" s="8"/>
      <c r="C187" s="20"/>
      <c r="D187" s="20"/>
      <c r="E187" s="20"/>
      <c r="F187" s="21"/>
      <c r="G187" s="20"/>
      <c r="H187" s="20"/>
      <c r="I187" s="20"/>
      <c r="J187" s="21"/>
      <c r="K187" s="20"/>
      <c r="L187" s="20"/>
      <c r="M187" s="20"/>
      <c r="N187" s="21"/>
      <c r="O187" s="20"/>
      <c r="P187" s="20"/>
      <c r="Q187" s="20"/>
      <c r="R187" s="21"/>
      <c r="S187" s="20"/>
      <c r="T187" s="20"/>
      <c r="U187" s="20"/>
      <c r="V187" s="21"/>
    </row>
    <row r="188">
      <c r="A188" s="5"/>
      <c r="B188" s="8"/>
      <c r="C188" s="20"/>
      <c r="D188" s="20"/>
      <c r="E188" s="20"/>
      <c r="F188" s="21"/>
      <c r="G188" s="20"/>
      <c r="H188" s="20"/>
      <c r="I188" s="20"/>
      <c r="J188" s="21"/>
      <c r="K188" s="20"/>
      <c r="L188" s="20"/>
      <c r="M188" s="20"/>
      <c r="N188" s="21"/>
      <c r="O188" s="20"/>
      <c r="P188" s="20"/>
      <c r="Q188" s="20"/>
      <c r="R188" s="21"/>
      <c r="S188" s="20"/>
      <c r="T188" s="20"/>
      <c r="U188" s="20"/>
      <c r="V188" s="21"/>
    </row>
    <row r="189">
      <c r="A189" s="5"/>
      <c r="B189" s="8"/>
      <c r="C189" s="20"/>
      <c r="D189" s="20"/>
      <c r="E189" s="20"/>
      <c r="F189" s="21"/>
      <c r="G189" s="20"/>
      <c r="H189" s="20"/>
      <c r="I189" s="20"/>
      <c r="J189" s="21"/>
      <c r="K189" s="20"/>
      <c r="L189" s="20"/>
      <c r="M189" s="20"/>
      <c r="N189" s="21"/>
      <c r="O189" s="20"/>
      <c r="P189" s="20"/>
      <c r="Q189" s="20"/>
      <c r="R189" s="21"/>
      <c r="S189" s="20"/>
      <c r="T189" s="20"/>
      <c r="U189" s="20"/>
      <c r="V189" s="21"/>
    </row>
    <row r="190">
      <c r="A190" s="5"/>
      <c r="B190" s="8"/>
      <c r="C190" s="20"/>
      <c r="D190" s="20"/>
      <c r="E190" s="20"/>
      <c r="F190" s="21"/>
      <c r="G190" s="20"/>
      <c r="H190" s="20"/>
      <c r="I190" s="20"/>
      <c r="J190" s="21"/>
      <c r="K190" s="20"/>
      <c r="L190" s="20"/>
      <c r="M190" s="20"/>
      <c r="N190" s="21"/>
      <c r="O190" s="20"/>
      <c r="P190" s="20"/>
      <c r="Q190" s="20"/>
      <c r="R190" s="21"/>
      <c r="S190" s="20"/>
      <c r="T190" s="20"/>
      <c r="U190" s="20"/>
      <c r="V190" s="21"/>
    </row>
    <row r="191">
      <c r="A191" s="5"/>
      <c r="B191" s="8"/>
      <c r="C191" s="20"/>
      <c r="D191" s="20"/>
      <c r="E191" s="20"/>
      <c r="F191" s="21"/>
      <c r="G191" s="20"/>
      <c r="H191" s="20"/>
      <c r="I191" s="20"/>
      <c r="J191" s="21"/>
      <c r="K191" s="20"/>
      <c r="L191" s="20"/>
      <c r="M191" s="20"/>
      <c r="N191" s="21"/>
      <c r="O191" s="20"/>
      <c r="P191" s="20"/>
      <c r="Q191" s="20"/>
      <c r="R191" s="21"/>
      <c r="S191" s="20"/>
      <c r="T191" s="20"/>
      <c r="U191" s="20"/>
      <c r="V191" s="21"/>
    </row>
    <row r="192">
      <c r="A192" s="5"/>
      <c r="B192" s="8"/>
      <c r="C192" s="20"/>
      <c r="D192" s="20"/>
      <c r="E192" s="20"/>
      <c r="F192" s="21"/>
      <c r="G192" s="20"/>
      <c r="H192" s="20"/>
      <c r="I192" s="20"/>
      <c r="J192" s="21"/>
      <c r="K192" s="20"/>
      <c r="L192" s="20"/>
      <c r="M192" s="20"/>
      <c r="N192" s="21"/>
      <c r="O192" s="20"/>
      <c r="P192" s="20"/>
      <c r="Q192" s="20"/>
      <c r="R192" s="21"/>
      <c r="S192" s="20"/>
      <c r="T192" s="20"/>
      <c r="U192" s="20"/>
      <c r="V192" s="21"/>
    </row>
    <row r="193">
      <c r="A193" s="5"/>
      <c r="B193" s="8"/>
      <c r="C193" s="20"/>
      <c r="D193" s="20"/>
      <c r="E193" s="20"/>
      <c r="F193" s="21"/>
      <c r="G193" s="20"/>
      <c r="H193" s="20"/>
      <c r="I193" s="20"/>
      <c r="J193" s="21"/>
      <c r="K193" s="20"/>
      <c r="L193" s="20"/>
      <c r="M193" s="20"/>
      <c r="N193" s="21"/>
      <c r="O193" s="20"/>
      <c r="P193" s="20"/>
      <c r="Q193" s="20"/>
      <c r="R193" s="21"/>
      <c r="S193" s="20"/>
      <c r="T193" s="20"/>
      <c r="U193" s="20"/>
      <c r="V193" s="21"/>
    </row>
    <row r="194">
      <c r="A194" s="5"/>
      <c r="B194" s="8"/>
      <c r="C194" s="20"/>
      <c r="D194" s="20"/>
      <c r="E194" s="20"/>
      <c r="F194" s="21"/>
      <c r="G194" s="20"/>
      <c r="H194" s="20"/>
      <c r="I194" s="20"/>
      <c r="J194" s="21"/>
      <c r="K194" s="20"/>
      <c r="L194" s="20"/>
      <c r="M194" s="20"/>
      <c r="N194" s="21"/>
      <c r="O194" s="20"/>
      <c r="P194" s="20"/>
      <c r="Q194" s="20"/>
      <c r="R194" s="21"/>
      <c r="S194" s="20"/>
      <c r="T194" s="20"/>
      <c r="U194" s="20"/>
      <c r="V194" s="21"/>
    </row>
    <row r="195">
      <c r="A195" s="5"/>
      <c r="B195" s="8"/>
      <c r="C195" s="20"/>
      <c r="D195" s="20"/>
      <c r="E195" s="20"/>
      <c r="F195" s="21"/>
      <c r="G195" s="20"/>
      <c r="H195" s="20"/>
      <c r="I195" s="20"/>
      <c r="J195" s="21"/>
      <c r="K195" s="20"/>
      <c r="L195" s="20"/>
      <c r="M195" s="20"/>
      <c r="N195" s="21"/>
      <c r="O195" s="20"/>
      <c r="P195" s="20"/>
      <c r="Q195" s="20"/>
      <c r="R195" s="21"/>
      <c r="S195" s="20"/>
      <c r="T195" s="20"/>
      <c r="U195" s="20"/>
      <c r="V195" s="21"/>
    </row>
    <row r="196">
      <c r="A196" s="5"/>
      <c r="B196" s="8"/>
      <c r="C196" s="20"/>
      <c r="D196" s="20"/>
      <c r="E196" s="20"/>
      <c r="F196" s="21"/>
      <c r="G196" s="20"/>
      <c r="H196" s="20"/>
      <c r="I196" s="20"/>
      <c r="J196" s="21"/>
      <c r="K196" s="20"/>
      <c r="L196" s="20"/>
      <c r="M196" s="20"/>
      <c r="N196" s="21"/>
      <c r="O196" s="20"/>
      <c r="P196" s="20"/>
      <c r="Q196" s="20"/>
      <c r="R196" s="21"/>
      <c r="S196" s="20"/>
      <c r="T196" s="20"/>
      <c r="U196" s="20"/>
      <c r="V196" s="21"/>
    </row>
    <row r="197">
      <c r="A197" s="5"/>
      <c r="B197" s="8"/>
      <c r="C197" s="20"/>
      <c r="D197" s="20"/>
      <c r="E197" s="20"/>
      <c r="F197" s="21"/>
      <c r="G197" s="20"/>
      <c r="H197" s="20"/>
      <c r="I197" s="20"/>
      <c r="J197" s="21"/>
      <c r="K197" s="20"/>
      <c r="L197" s="20"/>
      <c r="M197" s="20"/>
      <c r="N197" s="21"/>
      <c r="O197" s="20"/>
      <c r="P197" s="20"/>
      <c r="Q197" s="20"/>
      <c r="R197" s="21"/>
      <c r="S197" s="20"/>
      <c r="T197" s="20"/>
      <c r="U197" s="20"/>
      <c r="V197" s="21"/>
    </row>
    <row r="198">
      <c r="A198" s="5"/>
      <c r="B198" s="8"/>
      <c r="C198" s="20"/>
      <c r="D198" s="20"/>
      <c r="E198" s="20"/>
      <c r="F198" s="21"/>
      <c r="G198" s="20"/>
      <c r="H198" s="20"/>
      <c r="I198" s="20"/>
      <c r="J198" s="21"/>
      <c r="K198" s="20"/>
      <c r="L198" s="20"/>
      <c r="M198" s="20"/>
      <c r="N198" s="21"/>
      <c r="O198" s="20"/>
      <c r="P198" s="20"/>
      <c r="Q198" s="20"/>
      <c r="R198" s="21"/>
      <c r="S198" s="20"/>
      <c r="T198" s="20"/>
      <c r="U198" s="20"/>
      <c r="V198" s="21"/>
    </row>
    <row r="199">
      <c r="A199" s="5"/>
      <c r="B199" s="8"/>
      <c r="C199" s="20"/>
      <c r="D199" s="20"/>
      <c r="E199" s="20"/>
      <c r="F199" s="21"/>
      <c r="G199" s="20"/>
      <c r="H199" s="20"/>
      <c r="I199" s="20"/>
      <c r="J199" s="21"/>
      <c r="K199" s="20"/>
      <c r="L199" s="20"/>
      <c r="M199" s="20"/>
      <c r="N199" s="21"/>
      <c r="O199" s="20"/>
      <c r="P199" s="20"/>
      <c r="Q199" s="20"/>
      <c r="R199" s="21"/>
      <c r="S199" s="20"/>
      <c r="T199" s="20"/>
      <c r="U199" s="20"/>
      <c r="V199" s="21"/>
    </row>
    <row r="200">
      <c r="A200" s="5"/>
      <c r="B200" s="8"/>
      <c r="C200" s="20"/>
      <c r="D200" s="20"/>
      <c r="E200" s="20"/>
      <c r="F200" s="21"/>
      <c r="G200" s="20"/>
      <c r="H200" s="20"/>
      <c r="I200" s="20"/>
      <c r="J200" s="21"/>
      <c r="K200" s="20"/>
      <c r="L200" s="20"/>
      <c r="M200" s="20"/>
      <c r="N200" s="21"/>
      <c r="O200" s="20"/>
      <c r="P200" s="20"/>
      <c r="Q200" s="20"/>
      <c r="R200" s="21"/>
      <c r="S200" s="20"/>
      <c r="T200" s="20"/>
      <c r="U200" s="20"/>
      <c r="V200" s="21"/>
    </row>
    <row r="201">
      <c r="A201" s="5"/>
      <c r="B201" s="8"/>
      <c r="C201" s="20"/>
      <c r="D201" s="20"/>
      <c r="E201" s="20"/>
      <c r="F201" s="21"/>
      <c r="G201" s="20"/>
      <c r="H201" s="20"/>
      <c r="I201" s="20"/>
      <c r="J201" s="21"/>
      <c r="K201" s="20"/>
      <c r="L201" s="20"/>
      <c r="M201" s="20"/>
      <c r="N201" s="21"/>
      <c r="O201" s="20"/>
      <c r="P201" s="20"/>
      <c r="Q201" s="20"/>
      <c r="R201" s="21"/>
      <c r="S201" s="20"/>
      <c r="T201" s="20"/>
      <c r="U201" s="20"/>
      <c r="V201" s="21"/>
    </row>
    <row r="202">
      <c r="A202" s="5"/>
      <c r="B202" s="8"/>
      <c r="C202" s="20"/>
      <c r="D202" s="20"/>
      <c r="E202" s="20"/>
      <c r="F202" s="21"/>
      <c r="G202" s="20"/>
      <c r="H202" s="20"/>
      <c r="I202" s="20"/>
      <c r="J202" s="21"/>
      <c r="K202" s="20"/>
      <c r="L202" s="20"/>
      <c r="M202" s="20"/>
      <c r="N202" s="21"/>
      <c r="O202" s="20"/>
      <c r="P202" s="20"/>
      <c r="Q202" s="20"/>
      <c r="R202" s="21"/>
      <c r="S202" s="20"/>
      <c r="T202" s="20"/>
      <c r="U202" s="20"/>
      <c r="V202" s="21"/>
    </row>
    <row r="203">
      <c r="A203" s="5"/>
      <c r="B203" s="8"/>
      <c r="C203" s="20"/>
      <c r="D203" s="20"/>
      <c r="E203" s="20"/>
      <c r="F203" s="21"/>
      <c r="G203" s="20"/>
      <c r="H203" s="20"/>
      <c r="I203" s="20"/>
      <c r="J203" s="21"/>
      <c r="K203" s="20"/>
      <c r="L203" s="20"/>
      <c r="M203" s="20"/>
      <c r="N203" s="21"/>
      <c r="O203" s="20"/>
      <c r="P203" s="20"/>
      <c r="Q203" s="20"/>
      <c r="R203" s="21"/>
      <c r="S203" s="20"/>
      <c r="T203" s="20"/>
      <c r="U203" s="20"/>
      <c r="V203" s="21"/>
    </row>
    <row r="204">
      <c r="A204" s="5"/>
      <c r="B204" s="8"/>
      <c r="C204" s="20"/>
      <c r="D204" s="20"/>
      <c r="E204" s="20"/>
      <c r="F204" s="21"/>
      <c r="G204" s="20"/>
      <c r="H204" s="20"/>
      <c r="I204" s="20"/>
      <c r="J204" s="21"/>
      <c r="K204" s="20"/>
      <c r="L204" s="20"/>
      <c r="M204" s="20"/>
      <c r="N204" s="21"/>
      <c r="O204" s="20"/>
      <c r="P204" s="20"/>
      <c r="Q204" s="20"/>
      <c r="R204" s="21"/>
      <c r="S204" s="20"/>
      <c r="T204" s="20"/>
      <c r="U204" s="20"/>
      <c r="V204" s="21"/>
    </row>
    <row r="205">
      <c r="A205" s="5"/>
      <c r="B205" s="8"/>
      <c r="C205" s="20"/>
      <c r="D205" s="20"/>
      <c r="E205" s="20"/>
      <c r="F205" s="21"/>
      <c r="G205" s="20"/>
      <c r="H205" s="20"/>
      <c r="I205" s="20"/>
      <c r="J205" s="21"/>
      <c r="K205" s="20"/>
      <c r="L205" s="20"/>
      <c r="M205" s="20"/>
      <c r="N205" s="21"/>
      <c r="O205" s="20"/>
      <c r="P205" s="20"/>
      <c r="Q205" s="20"/>
      <c r="R205" s="21"/>
      <c r="S205" s="20"/>
      <c r="T205" s="20"/>
      <c r="U205" s="20"/>
      <c r="V205" s="21"/>
    </row>
    <row r="206">
      <c r="A206" s="5"/>
      <c r="B206" s="8"/>
      <c r="C206" s="20"/>
      <c r="D206" s="20"/>
      <c r="E206" s="20"/>
      <c r="F206" s="21"/>
      <c r="G206" s="20"/>
      <c r="H206" s="20"/>
      <c r="I206" s="20"/>
      <c r="J206" s="21"/>
      <c r="K206" s="20"/>
      <c r="L206" s="20"/>
      <c r="M206" s="20"/>
      <c r="N206" s="21"/>
      <c r="O206" s="20"/>
      <c r="P206" s="20"/>
      <c r="Q206" s="20"/>
      <c r="R206" s="21"/>
      <c r="S206" s="20"/>
      <c r="T206" s="20"/>
      <c r="U206" s="20"/>
      <c r="V206" s="21"/>
    </row>
    <row r="207">
      <c r="A207" s="5"/>
      <c r="B207" s="8"/>
      <c r="C207" s="20"/>
      <c r="D207" s="20"/>
      <c r="E207" s="20"/>
      <c r="F207" s="21"/>
      <c r="G207" s="20"/>
      <c r="H207" s="20"/>
      <c r="I207" s="20"/>
      <c r="J207" s="21"/>
      <c r="K207" s="20"/>
      <c r="L207" s="20"/>
      <c r="M207" s="20"/>
      <c r="N207" s="21"/>
      <c r="O207" s="20"/>
      <c r="P207" s="20"/>
      <c r="Q207" s="20"/>
      <c r="R207" s="21"/>
      <c r="S207" s="20"/>
      <c r="T207" s="20"/>
      <c r="U207" s="20"/>
      <c r="V207" s="21"/>
    </row>
    <row r="208">
      <c r="A208" s="5"/>
      <c r="B208" s="8"/>
      <c r="C208" s="20"/>
      <c r="D208" s="20"/>
      <c r="E208" s="20"/>
      <c r="F208" s="21"/>
      <c r="G208" s="20"/>
      <c r="H208" s="20"/>
      <c r="I208" s="20"/>
      <c r="J208" s="21"/>
      <c r="K208" s="20"/>
      <c r="L208" s="20"/>
      <c r="M208" s="20"/>
      <c r="N208" s="21"/>
      <c r="O208" s="20"/>
      <c r="P208" s="20"/>
      <c r="Q208" s="20"/>
      <c r="R208" s="21"/>
      <c r="S208" s="20"/>
      <c r="T208" s="20"/>
      <c r="U208" s="20"/>
      <c r="V208" s="21"/>
    </row>
    <row r="209">
      <c r="A209" s="5"/>
      <c r="B209" s="8"/>
      <c r="C209" s="20"/>
      <c r="D209" s="20"/>
      <c r="E209" s="20"/>
      <c r="F209" s="21"/>
      <c r="G209" s="20"/>
      <c r="H209" s="20"/>
      <c r="I209" s="20"/>
      <c r="J209" s="21"/>
      <c r="K209" s="20"/>
      <c r="L209" s="20"/>
      <c r="M209" s="20"/>
      <c r="N209" s="21"/>
      <c r="O209" s="20"/>
      <c r="P209" s="20"/>
      <c r="Q209" s="20"/>
      <c r="R209" s="21"/>
      <c r="S209" s="20"/>
      <c r="T209" s="20"/>
      <c r="U209" s="20"/>
      <c r="V209" s="21"/>
    </row>
    <row r="210">
      <c r="A210" s="5"/>
      <c r="B210" s="8"/>
      <c r="C210" s="20"/>
      <c r="D210" s="20"/>
      <c r="E210" s="20"/>
      <c r="F210" s="21"/>
      <c r="G210" s="20"/>
      <c r="H210" s="20"/>
      <c r="I210" s="20"/>
      <c r="J210" s="21"/>
      <c r="K210" s="20"/>
      <c r="L210" s="20"/>
      <c r="M210" s="20"/>
      <c r="N210" s="21"/>
      <c r="O210" s="20"/>
      <c r="P210" s="20"/>
      <c r="Q210" s="20"/>
      <c r="R210" s="21"/>
      <c r="S210" s="20"/>
      <c r="T210" s="20"/>
      <c r="U210" s="20"/>
      <c r="V210" s="21"/>
    </row>
    <row r="211">
      <c r="A211" s="5"/>
      <c r="B211" s="8"/>
      <c r="C211" s="20"/>
      <c r="D211" s="20"/>
      <c r="E211" s="20"/>
      <c r="F211" s="21"/>
      <c r="G211" s="20"/>
      <c r="H211" s="20"/>
      <c r="I211" s="20"/>
      <c r="J211" s="21"/>
      <c r="K211" s="20"/>
      <c r="L211" s="20"/>
      <c r="M211" s="20"/>
      <c r="N211" s="21"/>
      <c r="O211" s="20"/>
      <c r="P211" s="20"/>
      <c r="Q211" s="20"/>
      <c r="R211" s="21"/>
      <c r="S211" s="20"/>
      <c r="T211" s="20"/>
      <c r="U211" s="20"/>
      <c r="V211" s="21"/>
    </row>
    <row r="212">
      <c r="A212" s="5"/>
      <c r="B212" s="8"/>
      <c r="C212" s="20"/>
      <c r="D212" s="20"/>
      <c r="E212" s="20"/>
      <c r="F212" s="21"/>
      <c r="G212" s="20"/>
      <c r="H212" s="20"/>
      <c r="I212" s="20"/>
      <c r="J212" s="21"/>
      <c r="K212" s="20"/>
      <c r="L212" s="20"/>
      <c r="M212" s="20"/>
      <c r="N212" s="21"/>
      <c r="O212" s="20"/>
      <c r="P212" s="20"/>
      <c r="Q212" s="20"/>
      <c r="R212" s="21"/>
      <c r="S212" s="20"/>
      <c r="T212" s="20"/>
      <c r="U212" s="20"/>
      <c r="V212" s="21"/>
    </row>
    <row r="213">
      <c r="A213" s="5"/>
      <c r="B213" s="8"/>
      <c r="C213" s="20"/>
      <c r="D213" s="20"/>
      <c r="E213" s="20"/>
      <c r="F213" s="21"/>
      <c r="G213" s="20"/>
      <c r="H213" s="20"/>
      <c r="I213" s="20"/>
      <c r="J213" s="21"/>
      <c r="K213" s="20"/>
      <c r="L213" s="20"/>
      <c r="M213" s="20"/>
      <c r="N213" s="21"/>
      <c r="O213" s="20"/>
      <c r="P213" s="20"/>
      <c r="Q213" s="20"/>
      <c r="R213" s="21"/>
      <c r="S213" s="20"/>
      <c r="T213" s="20"/>
      <c r="U213" s="20"/>
      <c r="V213" s="21"/>
    </row>
    <row r="214">
      <c r="A214" s="5"/>
      <c r="B214" s="8"/>
      <c r="C214" s="20"/>
      <c r="D214" s="20"/>
      <c r="E214" s="20"/>
      <c r="F214" s="21"/>
      <c r="G214" s="20"/>
      <c r="H214" s="20"/>
      <c r="I214" s="20"/>
      <c r="J214" s="21"/>
      <c r="K214" s="20"/>
      <c r="L214" s="20"/>
      <c r="M214" s="20"/>
      <c r="N214" s="21"/>
      <c r="O214" s="20"/>
      <c r="P214" s="20"/>
      <c r="Q214" s="20"/>
      <c r="R214" s="21"/>
      <c r="S214" s="20"/>
      <c r="T214" s="20"/>
      <c r="U214" s="20"/>
      <c r="V214" s="21"/>
    </row>
    <row r="215">
      <c r="A215" s="5"/>
      <c r="B215" s="8"/>
      <c r="C215" s="20"/>
      <c r="D215" s="20"/>
      <c r="E215" s="20"/>
      <c r="F215" s="21"/>
      <c r="G215" s="20"/>
      <c r="H215" s="20"/>
      <c r="I215" s="20"/>
      <c r="J215" s="21"/>
      <c r="K215" s="20"/>
      <c r="L215" s="20"/>
      <c r="M215" s="20"/>
      <c r="N215" s="21"/>
      <c r="O215" s="20"/>
      <c r="P215" s="20"/>
      <c r="Q215" s="20"/>
      <c r="R215" s="21"/>
      <c r="S215" s="20"/>
      <c r="T215" s="20"/>
      <c r="U215" s="20"/>
      <c r="V215" s="21"/>
    </row>
    <row r="216">
      <c r="A216" s="5"/>
      <c r="B216" s="8"/>
      <c r="C216" s="20"/>
      <c r="D216" s="20"/>
      <c r="E216" s="20"/>
      <c r="F216" s="21"/>
      <c r="G216" s="20"/>
      <c r="H216" s="20"/>
      <c r="I216" s="20"/>
      <c r="J216" s="21"/>
      <c r="K216" s="20"/>
      <c r="L216" s="20"/>
      <c r="M216" s="20"/>
      <c r="N216" s="21"/>
      <c r="O216" s="20"/>
      <c r="P216" s="20"/>
      <c r="Q216" s="20"/>
      <c r="R216" s="21"/>
      <c r="S216" s="20"/>
      <c r="T216" s="20"/>
      <c r="U216" s="20"/>
      <c r="V216" s="21"/>
    </row>
    <row r="217">
      <c r="A217" s="5"/>
      <c r="B217" s="8"/>
      <c r="C217" s="20"/>
      <c r="D217" s="20"/>
      <c r="E217" s="20"/>
      <c r="F217" s="21"/>
      <c r="G217" s="20"/>
      <c r="H217" s="20"/>
      <c r="I217" s="20"/>
      <c r="J217" s="21"/>
      <c r="K217" s="20"/>
      <c r="L217" s="20"/>
      <c r="M217" s="20"/>
      <c r="N217" s="21"/>
      <c r="O217" s="20"/>
      <c r="P217" s="20"/>
      <c r="Q217" s="20"/>
      <c r="R217" s="21"/>
      <c r="S217" s="20"/>
      <c r="T217" s="20"/>
      <c r="U217" s="20"/>
      <c r="V217" s="21"/>
    </row>
    <row r="218">
      <c r="A218" s="5"/>
      <c r="B218" s="8"/>
      <c r="C218" s="20"/>
      <c r="D218" s="20"/>
      <c r="E218" s="20"/>
      <c r="F218" s="21"/>
      <c r="G218" s="20"/>
      <c r="H218" s="20"/>
      <c r="I218" s="20"/>
      <c r="J218" s="21"/>
      <c r="K218" s="20"/>
      <c r="L218" s="20"/>
      <c r="M218" s="20"/>
      <c r="N218" s="21"/>
      <c r="O218" s="20"/>
      <c r="P218" s="20"/>
      <c r="Q218" s="20"/>
      <c r="R218" s="21"/>
      <c r="S218" s="20"/>
      <c r="T218" s="20"/>
      <c r="U218" s="20"/>
      <c r="V218" s="21"/>
    </row>
    <row r="219">
      <c r="A219" s="5"/>
      <c r="B219" s="8"/>
      <c r="C219" s="20"/>
      <c r="D219" s="20"/>
      <c r="E219" s="20"/>
      <c r="F219" s="21"/>
      <c r="G219" s="20"/>
      <c r="H219" s="20"/>
      <c r="I219" s="20"/>
      <c r="J219" s="21"/>
      <c r="K219" s="20"/>
      <c r="L219" s="20"/>
      <c r="M219" s="20"/>
      <c r="N219" s="21"/>
      <c r="O219" s="20"/>
      <c r="P219" s="20"/>
      <c r="Q219" s="20"/>
      <c r="R219" s="21"/>
      <c r="S219" s="20"/>
      <c r="T219" s="20"/>
      <c r="U219" s="20"/>
      <c r="V219" s="21"/>
    </row>
    <row r="220">
      <c r="A220" s="5"/>
      <c r="B220" s="8"/>
      <c r="C220" s="20"/>
      <c r="D220" s="20"/>
      <c r="E220" s="20"/>
      <c r="F220" s="21"/>
      <c r="G220" s="20"/>
      <c r="H220" s="20"/>
      <c r="I220" s="20"/>
      <c r="J220" s="21"/>
      <c r="K220" s="20"/>
      <c r="L220" s="20"/>
      <c r="M220" s="20"/>
      <c r="N220" s="21"/>
      <c r="O220" s="20"/>
      <c r="P220" s="20"/>
      <c r="Q220" s="20"/>
      <c r="R220" s="21"/>
      <c r="S220" s="20"/>
      <c r="T220" s="20"/>
      <c r="U220" s="20"/>
      <c r="V220" s="21"/>
    </row>
    <row r="221">
      <c r="A221" s="5"/>
      <c r="B221" s="8"/>
      <c r="C221" s="20"/>
      <c r="D221" s="20"/>
      <c r="E221" s="20"/>
      <c r="F221" s="21"/>
      <c r="G221" s="20"/>
      <c r="H221" s="20"/>
      <c r="I221" s="20"/>
      <c r="J221" s="21"/>
      <c r="K221" s="20"/>
      <c r="L221" s="20"/>
      <c r="M221" s="20"/>
      <c r="N221" s="21"/>
      <c r="O221" s="20"/>
      <c r="P221" s="20"/>
      <c r="Q221" s="20"/>
      <c r="R221" s="21"/>
      <c r="S221" s="20"/>
      <c r="T221" s="20"/>
      <c r="U221" s="20"/>
      <c r="V221" s="21"/>
    </row>
    <row r="222">
      <c r="A222" s="5"/>
      <c r="B222" s="8"/>
      <c r="C222" s="20"/>
      <c r="D222" s="20"/>
      <c r="E222" s="20"/>
      <c r="F222" s="21"/>
      <c r="G222" s="20"/>
      <c r="H222" s="20"/>
      <c r="I222" s="20"/>
      <c r="J222" s="21"/>
      <c r="K222" s="20"/>
      <c r="L222" s="20"/>
      <c r="M222" s="20"/>
      <c r="N222" s="21"/>
      <c r="O222" s="20"/>
      <c r="P222" s="20"/>
      <c r="Q222" s="20"/>
      <c r="R222" s="21"/>
      <c r="S222" s="20"/>
      <c r="T222" s="20"/>
      <c r="U222" s="20"/>
      <c r="V222" s="21"/>
    </row>
    <row r="223">
      <c r="A223" s="5"/>
      <c r="B223" s="8"/>
      <c r="C223" s="20"/>
      <c r="D223" s="20"/>
      <c r="E223" s="20"/>
      <c r="F223" s="21"/>
      <c r="G223" s="20"/>
      <c r="H223" s="20"/>
      <c r="I223" s="20"/>
      <c r="J223" s="21"/>
      <c r="K223" s="20"/>
      <c r="L223" s="20"/>
      <c r="M223" s="20"/>
      <c r="N223" s="21"/>
      <c r="O223" s="20"/>
      <c r="P223" s="20"/>
      <c r="Q223" s="20"/>
      <c r="R223" s="21"/>
      <c r="S223" s="20"/>
      <c r="T223" s="20"/>
      <c r="U223" s="20"/>
      <c r="V223" s="21"/>
    </row>
    <row r="224">
      <c r="A224" s="5"/>
      <c r="B224" s="8"/>
      <c r="C224" s="20"/>
      <c r="D224" s="20"/>
      <c r="E224" s="20"/>
      <c r="F224" s="21"/>
      <c r="G224" s="20"/>
      <c r="H224" s="20"/>
      <c r="I224" s="20"/>
      <c r="J224" s="21"/>
      <c r="K224" s="20"/>
      <c r="L224" s="20"/>
      <c r="M224" s="20"/>
      <c r="N224" s="21"/>
      <c r="O224" s="20"/>
      <c r="P224" s="20"/>
      <c r="Q224" s="20"/>
      <c r="R224" s="21"/>
      <c r="S224" s="20"/>
      <c r="T224" s="20"/>
      <c r="U224" s="20"/>
      <c r="V224" s="21"/>
    </row>
    <row r="225">
      <c r="A225" s="5"/>
      <c r="B225" s="8"/>
      <c r="C225" s="20"/>
      <c r="D225" s="20"/>
      <c r="E225" s="20"/>
      <c r="F225" s="21"/>
      <c r="G225" s="20"/>
      <c r="H225" s="20"/>
      <c r="I225" s="20"/>
      <c r="J225" s="21"/>
      <c r="K225" s="20"/>
      <c r="L225" s="20"/>
      <c r="M225" s="20"/>
      <c r="N225" s="21"/>
      <c r="O225" s="20"/>
      <c r="P225" s="20"/>
      <c r="Q225" s="20"/>
      <c r="R225" s="21"/>
      <c r="S225" s="20"/>
      <c r="T225" s="20"/>
      <c r="U225" s="20"/>
      <c r="V225" s="21"/>
    </row>
    <row r="226">
      <c r="A226" s="5"/>
      <c r="B226" s="8"/>
      <c r="C226" s="20"/>
      <c r="D226" s="20"/>
      <c r="E226" s="20"/>
      <c r="F226" s="21"/>
      <c r="G226" s="20"/>
      <c r="H226" s="20"/>
      <c r="I226" s="20"/>
      <c r="J226" s="21"/>
      <c r="K226" s="20"/>
      <c r="L226" s="20"/>
      <c r="M226" s="20"/>
      <c r="N226" s="21"/>
      <c r="O226" s="20"/>
      <c r="P226" s="20"/>
      <c r="Q226" s="20"/>
      <c r="R226" s="21"/>
      <c r="S226" s="20"/>
      <c r="T226" s="20"/>
      <c r="U226" s="20"/>
      <c r="V226" s="21"/>
    </row>
    <row r="227">
      <c r="A227" s="5"/>
      <c r="B227" s="8"/>
      <c r="C227" s="20"/>
      <c r="D227" s="20"/>
      <c r="E227" s="20"/>
      <c r="F227" s="21"/>
      <c r="G227" s="20"/>
      <c r="H227" s="20"/>
      <c r="I227" s="20"/>
      <c r="J227" s="21"/>
      <c r="K227" s="20"/>
      <c r="L227" s="20"/>
      <c r="M227" s="20"/>
      <c r="N227" s="21"/>
      <c r="O227" s="20"/>
      <c r="P227" s="20"/>
      <c r="Q227" s="20"/>
      <c r="R227" s="21"/>
      <c r="S227" s="20"/>
      <c r="T227" s="20"/>
      <c r="U227" s="20"/>
      <c r="V227" s="21"/>
    </row>
    <row r="228">
      <c r="A228" s="5"/>
      <c r="B228" s="8"/>
      <c r="C228" s="20"/>
      <c r="D228" s="20"/>
      <c r="E228" s="20"/>
      <c r="F228" s="21"/>
      <c r="G228" s="20"/>
      <c r="H228" s="20"/>
      <c r="I228" s="20"/>
      <c r="J228" s="21"/>
      <c r="K228" s="20"/>
      <c r="L228" s="20"/>
      <c r="M228" s="20"/>
      <c r="N228" s="21"/>
      <c r="O228" s="20"/>
      <c r="P228" s="20"/>
      <c r="Q228" s="20"/>
      <c r="R228" s="21"/>
      <c r="S228" s="20"/>
      <c r="T228" s="20"/>
      <c r="U228" s="20"/>
      <c r="V228" s="21"/>
    </row>
    <row r="229">
      <c r="A229" s="5"/>
      <c r="B229" s="8"/>
      <c r="C229" s="20"/>
      <c r="D229" s="20"/>
      <c r="E229" s="20"/>
      <c r="F229" s="21"/>
      <c r="G229" s="20"/>
      <c r="H229" s="20"/>
      <c r="I229" s="20"/>
      <c r="J229" s="21"/>
      <c r="K229" s="20"/>
      <c r="L229" s="20"/>
      <c r="M229" s="20"/>
      <c r="N229" s="21"/>
      <c r="O229" s="20"/>
      <c r="P229" s="20"/>
      <c r="Q229" s="20"/>
      <c r="R229" s="21"/>
      <c r="S229" s="20"/>
      <c r="T229" s="20"/>
      <c r="U229" s="20"/>
      <c r="V229" s="21"/>
    </row>
    <row r="230">
      <c r="A230" s="5"/>
      <c r="B230" s="8"/>
      <c r="C230" s="20"/>
      <c r="D230" s="20"/>
      <c r="E230" s="20"/>
      <c r="F230" s="21"/>
      <c r="G230" s="20"/>
      <c r="H230" s="20"/>
      <c r="I230" s="20"/>
      <c r="J230" s="21"/>
      <c r="K230" s="20"/>
      <c r="L230" s="20"/>
      <c r="M230" s="20"/>
      <c r="N230" s="21"/>
      <c r="O230" s="20"/>
      <c r="P230" s="20"/>
      <c r="Q230" s="20"/>
      <c r="R230" s="21"/>
      <c r="S230" s="20"/>
      <c r="T230" s="20"/>
      <c r="U230" s="20"/>
      <c r="V230" s="21"/>
    </row>
    <row r="231">
      <c r="A231" s="5"/>
      <c r="B231" s="8"/>
      <c r="C231" s="20"/>
      <c r="D231" s="20"/>
      <c r="E231" s="20"/>
      <c r="F231" s="21"/>
      <c r="G231" s="20"/>
      <c r="H231" s="20"/>
      <c r="I231" s="20"/>
      <c r="J231" s="21"/>
      <c r="K231" s="20"/>
      <c r="L231" s="20"/>
      <c r="M231" s="20"/>
      <c r="N231" s="21"/>
      <c r="O231" s="20"/>
      <c r="P231" s="20"/>
      <c r="Q231" s="20"/>
      <c r="R231" s="21"/>
      <c r="S231" s="20"/>
      <c r="T231" s="20"/>
      <c r="U231" s="20"/>
      <c r="V231" s="21"/>
    </row>
    <row r="232">
      <c r="A232" s="5"/>
      <c r="B232" s="8"/>
      <c r="C232" s="20"/>
      <c r="D232" s="20"/>
      <c r="E232" s="20"/>
      <c r="F232" s="21"/>
      <c r="G232" s="20"/>
      <c r="H232" s="20"/>
      <c r="I232" s="20"/>
      <c r="J232" s="21"/>
      <c r="K232" s="20"/>
      <c r="L232" s="20"/>
      <c r="M232" s="20"/>
      <c r="N232" s="21"/>
      <c r="O232" s="20"/>
      <c r="P232" s="20"/>
      <c r="Q232" s="20"/>
      <c r="R232" s="21"/>
      <c r="S232" s="20"/>
      <c r="T232" s="20"/>
      <c r="U232" s="20"/>
      <c r="V232" s="21"/>
    </row>
  </sheetData>
  <mergeCells count="105">
    <mergeCell ref="A28:A32"/>
    <mergeCell ref="B28:B32"/>
    <mergeCell ref="C32:E32"/>
    <mergeCell ref="G32:I32"/>
    <mergeCell ref="K32:M32"/>
    <mergeCell ref="O32:Q32"/>
    <mergeCell ref="S32:U32"/>
    <mergeCell ref="A33:A37"/>
    <mergeCell ref="B33:B37"/>
    <mergeCell ref="C37:E37"/>
    <mergeCell ref="G37:I37"/>
    <mergeCell ref="K37:M37"/>
    <mergeCell ref="O37:Q37"/>
    <mergeCell ref="S37:U37"/>
    <mergeCell ref="A38:A42"/>
    <mergeCell ref="B38:B42"/>
    <mergeCell ref="C42:E42"/>
    <mergeCell ref="G42:I42"/>
    <mergeCell ref="K42:M42"/>
    <mergeCell ref="O42:Q42"/>
    <mergeCell ref="S42:U42"/>
    <mergeCell ref="A43:A47"/>
    <mergeCell ref="B43:B47"/>
    <mergeCell ref="C47:E47"/>
    <mergeCell ref="G47:I47"/>
    <mergeCell ref="K47:M47"/>
    <mergeCell ref="O47:Q47"/>
    <mergeCell ref="S47:U47"/>
    <mergeCell ref="A48:A52"/>
    <mergeCell ref="B48:B52"/>
    <mergeCell ref="C52:E52"/>
    <mergeCell ref="G52:I52"/>
    <mergeCell ref="K52:M52"/>
    <mergeCell ref="O52:Q52"/>
    <mergeCell ref="S52:U52"/>
    <mergeCell ref="A53:A57"/>
    <mergeCell ref="B53:B57"/>
    <mergeCell ref="C57:E57"/>
    <mergeCell ref="G57:I57"/>
    <mergeCell ref="K57:M57"/>
    <mergeCell ref="O57:Q57"/>
    <mergeCell ref="S57:U57"/>
    <mergeCell ref="A58:A62"/>
    <mergeCell ref="B58:B62"/>
    <mergeCell ref="C62:E62"/>
    <mergeCell ref="G62:I62"/>
    <mergeCell ref="K62:M62"/>
    <mergeCell ref="O62:Q62"/>
    <mergeCell ref="S62:U62"/>
    <mergeCell ref="A63:A67"/>
    <mergeCell ref="B63:B67"/>
    <mergeCell ref="C67:E67"/>
    <mergeCell ref="G67:I67"/>
    <mergeCell ref="K67:M67"/>
    <mergeCell ref="O67:Q67"/>
    <mergeCell ref="S67:U67"/>
    <mergeCell ref="A1:A2"/>
    <mergeCell ref="B1:B2"/>
    <mergeCell ref="C1:F1"/>
    <mergeCell ref="G1:J1"/>
    <mergeCell ref="K1:N1"/>
    <mergeCell ref="O1:R1"/>
    <mergeCell ref="S1:V1"/>
    <mergeCell ref="A3:A7"/>
    <mergeCell ref="B3:B7"/>
    <mergeCell ref="C7:E7"/>
    <mergeCell ref="G7:I7"/>
    <mergeCell ref="K7:M7"/>
    <mergeCell ref="O7:Q7"/>
    <mergeCell ref="S7:U7"/>
    <mergeCell ref="A8:A12"/>
    <mergeCell ref="B8:B12"/>
    <mergeCell ref="C12:E12"/>
    <mergeCell ref="G12:I12"/>
    <mergeCell ref="K12:M12"/>
    <mergeCell ref="O12:Q12"/>
    <mergeCell ref="S12:U12"/>
    <mergeCell ref="A13:A17"/>
    <mergeCell ref="B13:B17"/>
    <mergeCell ref="C17:E17"/>
    <mergeCell ref="G17:I17"/>
    <mergeCell ref="K17:M17"/>
    <mergeCell ref="O17:Q17"/>
    <mergeCell ref="S17:U17"/>
    <mergeCell ref="A18:A22"/>
    <mergeCell ref="B18:B22"/>
    <mergeCell ref="C22:E22"/>
    <mergeCell ref="G22:I22"/>
    <mergeCell ref="K22:M22"/>
    <mergeCell ref="O22:Q22"/>
    <mergeCell ref="S22:U22"/>
    <mergeCell ref="A23:A27"/>
    <mergeCell ref="B23:B27"/>
    <mergeCell ref="C27:E27"/>
    <mergeCell ref="G27:I27"/>
    <mergeCell ref="K27:M27"/>
    <mergeCell ref="O27:Q27"/>
    <mergeCell ref="S27:U27"/>
    <mergeCell ref="A68:A72"/>
    <mergeCell ref="B68:B72"/>
    <mergeCell ref="C72:E72"/>
    <mergeCell ref="G72:I72"/>
    <mergeCell ref="K72:M72"/>
    <mergeCell ref="O72:Q72"/>
    <mergeCell ref="S72:U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31.75"/>
    <col customWidth="1" min="3" max="5" width="10.63"/>
    <col customWidth="1" min="6" max="22" width="9.5"/>
  </cols>
  <sheetData>
    <row r="1" ht="43.5" customHeight="1">
      <c r="A1" s="22" t="s">
        <v>0</v>
      </c>
      <c r="B1" s="22" t="s">
        <v>1</v>
      </c>
      <c r="C1" s="22" t="s">
        <v>2</v>
      </c>
      <c r="G1" s="22" t="s">
        <v>3</v>
      </c>
      <c r="K1" s="22" t="s">
        <v>4</v>
      </c>
      <c r="O1" s="23" t="s">
        <v>5</v>
      </c>
      <c r="S1" s="24" t="s">
        <v>6</v>
      </c>
    </row>
    <row r="2" ht="29.25" customHeight="1">
      <c r="C2" s="25" t="s">
        <v>7</v>
      </c>
      <c r="D2" s="26" t="s">
        <v>8</v>
      </c>
      <c r="E2" s="26" t="s">
        <v>9</v>
      </c>
      <c r="F2" s="25" t="s">
        <v>10</v>
      </c>
      <c r="G2" s="27" t="s">
        <v>7</v>
      </c>
      <c r="H2" s="28" t="s">
        <v>8</v>
      </c>
      <c r="I2" s="28" t="s">
        <v>9</v>
      </c>
      <c r="J2" s="27" t="s">
        <v>10</v>
      </c>
      <c r="K2" s="27" t="s">
        <v>7</v>
      </c>
      <c r="L2" s="28" t="s">
        <v>8</v>
      </c>
      <c r="M2" s="28" t="s">
        <v>9</v>
      </c>
      <c r="N2" s="27" t="s">
        <v>10</v>
      </c>
      <c r="O2" s="27" t="s">
        <v>7</v>
      </c>
      <c r="P2" s="28" t="s">
        <v>8</v>
      </c>
      <c r="Q2" s="28" t="s">
        <v>9</v>
      </c>
      <c r="R2" s="27" t="s">
        <v>10</v>
      </c>
      <c r="S2" s="27" t="s">
        <v>7</v>
      </c>
      <c r="T2" s="28" t="s">
        <v>8</v>
      </c>
      <c r="U2" s="28" t="s">
        <v>9</v>
      </c>
      <c r="V2" s="27" t="s">
        <v>10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25" t="s">
        <v>11</v>
      </c>
      <c r="B3" s="29" t="s">
        <v>47</v>
      </c>
      <c r="C3" s="25" t="s">
        <v>13</v>
      </c>
      <c r="D3" s="30">
        <v>8.0</v>
      </c>
      <c r="E3" s="30">
        <v>10.0</v>
      </c>
      <c r="F3" s="31">
        <f t="shared" ref="F3:F6" si="1">DIVIDE(D3,SUM(D3:E3))</f>
        <v>0.4444444444</v>
      </c>
      <c r="G3" s="32" t="s">
        <v>14</v>
      </c>
      <c r="H3" s="33">
        <v>0.0</v>
      </c>
      <c r="I3" s="33">
        <v>0.0</v>
      </c>
      <c r="J3" s="31">
        <v>0.0</v>
      </c>
      <c r="K3" s="32" t="s">
        <v>15</v>
      </c>
      <c r="L3" s="33">
        <v>8.0</v>
      </c>
      <c r="M3" s="33">
        <v>5.0</v>
      </c>
      <c r="N3" s="34">
        <f t="shared" ref="N3:N6" si="2">DIVIDE(L3,SUM(L3:M3))</f>
        <v>0.6153846154</v>
      </c>
      <c r="O3" s="32" t="s">
        <v>16</v>
      </c>
      <c r="P3" s="33">
        <v>7.0</v>
      </c>
      <c r="Q3" s="33">
        <v>8.0</v>
      </c>
      <c r="R3" s="35">
        <f t="shared" ref="R3:R6" si="3">DIVIDE(P3,SUM(P3:Q3))</f>
        <v>0.4666666667</v>
      </c>
      <c r="S3" s="32" t="s">
        <v>17</v>
      </c>
      <c r="T3" s="33">
        <v>7.0</v>
      </c>
      <c r="U3" s="33">
        <v>10.0</v>
      </c>
      <c r="V3" s="35">
        <f t="shared" ref="V3:V6" si="4">DIVIDE(T3,SUM(T3:U3))</f>
        <v>0.4117647059</v>
      </c>
      <c r="X3" s="36">
        <f>AVERAGE(N3:N4)</f>
        <v>0.5993589744</v>
      </c>
      <c r="AB3" s="36">
        <f>AVERAGE(R3:R4)</f>
        <v>0.5666666667</v>
      </c>
    </row>
    <row r="4">
      <c r="C4" s="25" t="s">
        <v>18</v>
      </c>
      <c r="D4" s="30">
        <v>8.0</v>
      </c>
      <c r="E4" s="30">
        <v>2.0</v>
      </c>
      <c r="F4" s="31">
        <f t="shared" si="1"/>
        <v>0.8</v>
      </c>
      <c r="G4" s="32" t="s">
        <v>19</v>
      </c>
      <c r="H4" s="33">
        <v>8.0</v>
      </c>
      <c r="I4" s="33">
        <v>3.0</v>
      </c>
      <c r="J4" s="31">
        <f t="shared" ref="J4:J6" si="5">DIVIDE(H4,SUM(H4:I4))</f>
        <v>0.7272727273</v>
      </c>
      <c r="K4" s="32" t="s">
        <v>20</v>
      </c>
      <c r="L4" s="33">
        <v>7.0</v>
      </c>
      <c r="M4" s="33">
        <v>5.0</v>
      </c>
      <c r="N4" s="34">
        <f t="shared" si="2"/>
        <v>0.5833333333</v>
      </c>
      <c r="O4" s="32" t="s">
        <v>21</v>
      </c>
      <c r="P4" s="33">
        <v>8.0</v>
      </c>
      <c r="Q4" s="33">
        <v>4.0</v>
      </c>
      <c r="R4" s="35">
        <f t="shared" si="3"/>
        <v>0.6666666667</v>
      </c>
      <c r="S4" s="32" t="s">
        <v>22</v>
      </c>
      <c r="T4" s="33">
        <v>8.0</v>
      </c>
      <c r="U4" s="33">
        <v>2.0</v>
      </c>
      <c r="V4" s="35">
        <f t="shared" si="4"/>
        <v>0.8</v>
      </c>
    </row>
    <row r="5">
      <c r="C5" s="25" t="s">
        <v>23</v>
      </c>
      <c r="D5" s="30">
        <v>5.0</v>
      </c>
      <c r="E5" s="30">
        <v>2.0</v>
      </c>
      <c r="F5" s="31">
        <f t="shared" si="1"/>
        <v>0.7142857143</v>
      </c>
      <c r="G5" s="32" t="s">
        <v>24</v>
      </c>
      <c r="H5" s="33">
        <v>8.0</v>
      </c>
      <c r="I5" s="33">
        <v>5.0</v>
      </c>
      <c r="J5" s="31">
        <f t="shared" si="5"/>
        <v>0.6153846154</v>
      </c>
      <c r="K5" s="32" t="s">
        <v>25</v>
      </c>
      <c r="L5" s="33">
        <v>8.0</v>
      </c>
      <c r="M5" s="33">
        <v>5.0</v>
      </c>
      <c r="N5" s="34">
        <f t="shared" si="2"/>
        <v>0.6153846154</v>
      </c>
      <c r="O5" s="32" t="s">
        <v>26</v>
      </c>
      <c r="P5" s="33">
        <v>8.0</v>
      </c>
      <c r="Q5" s="33">
        <v>5.0</v>
      </c>
      <c r="R5" s="35">
        <f t="shared" si="3"/>
        <v>0.6153846154</v>
      </c>
      <c r="S5" s="32" t="s">
        <v>27</v>
      </c>
      <c r="T5" s="33">
        <v>8.0</v>
      </c>
      <c r="U5" s="33">
        <v>5.0</v>
      </c>
      <c r="V5" s="35">
        <f t="shared" si="4"/>
        <v>0.6153846154</v>
      </c>
      <c r="X5" s="36">
        <f>AVERAGE(N5:N6)</f>
        <v>0.6076923077</v>
      </c>
      <c r="AB5" s="36">
        <f>AVERAGE(R5:R6)</f>
        <v>0.5993589744</v>
      </c>
    </row>
    <row r="6">
      <c r="C6" s="25" t="s">
        <v>28</v>
      </c>
      <c r="D6" s="30">
        <v>8.0</v>
      </c>
      <c r="E6" s="30">
        <v>3.0</v>
      </c>
      <c r="F6" s="31">
        <f t="shared" si="1"/>
        <v>0.7272727273</v>
      </c>
      <c r="G6" s="32" t="s">
        <v>29</v>
      </c>
      <c r="H6" s="33">
        <v>5.0</v>
      </c>
      <c r="I6" s="33">
        <v>3.0</v>
      </c>
      <c r="J6" s="31">
        <f t="shared" si="5"/>
        <v>0.625</v>
      </c>
      <c r="K6" s="32" t="s">
        <v>30</v>
      </c>
      <c r="L6" s="33">
        <v>6.0</v>
      </c>
      <c r="M6" s="33">
        <v>4.0</v>
      </c>
      <c r="N6" s="34">
        <f t="shared" si="2"/>
        <v>0.6</v>
      </c>
      <c r="O6" s="32" t="s">
        <v>31</v>
      </c>
      <c r="P6" s="33">
        <v>7.0</v>
      </c>
      <c r="Q6" s="33">
        <v>5.0</v>
      </c>
      <c r="R6" s="35">
        <f t="shared" si="3"/>
        <v>0.5833333333</v>
      </c>
      <c r="S6" s="32" t="s">
        <v>32</v>
      </c>
      <c r="T6" s="33">
        <v>8.0</v>
      </c>
      <c r="U6" s="33">
        <v>3.0</v>
      </c>
      <c r="V6" s="35">
        <f t="shared" si="4"/>
        <v>0.7272727273</v>
      </c>
    </row>
    <row r="7">
      <c r="C7" s="37" t="s">
        <v>33</v>
      </c>
      <c r="F7" s="38">
        <f>AVERAGE(F3:F6)</f>
        <v>0.6715007215</v>
      </c>
      <c r="G7" s="37" t="s">
        <v>33</v>
      </c>
      <c r="J7" s="38">
        <f>AVERAGE(J3:J6)</f>
        <v>0.4919143357</v>
      </c>
      <c r="K7" s="37" t="s">
        <v>33</v>
      </c>
      <c r="N7" s="38">
        <f>AVERAGE(N3:N6)</f>
        <v>0.603525641</v>
      </c>
      <c r="O7" s="37" t="s">
        <v>33</v>
      </c>
      <c r="R7" s="38">
        <f>AVERAGE(R3:R6)</f>
        <v>0.5830128205</v>
      </c>
      <c r="S7" s="37" t="s">
        <v>33</v>
      </c>
      <c r="V7" s="38">
        <f>AVERAGE(V3:V6)</f>
        <v>0.6386055121</v>
      </c>
    </row>
    <row r="8">
      <c r="A8" s="25" t="s">
        <v>34</v>
      </c>
      <c r="B8" s="29" t="s">
        <v>12</v>
      </c>
      <c r="C8" s="25" t="s">
        <v>13</v>
      </c>
      <c r="D8" s="30">
        <v>6.0</v>
      </c>
      <c r="E8" s="30">
        <v>7.0</v>
      </c>
      <c r="F8" s="31">
        <f t="shared" ref="F8:F11" si="6">DIVIDE(D8,SUM(D8:E8))</f>
        <v>0.4615384615</v>
      </c>
      <c r="G8" s="32" t="s">
        <v>14</v>
      </c>
      <c r="H8" s="33">
        <v>8.0</v>
      </c>
      <c r="I8" s="33">
        <v>5.0</v>
      </c>
      <c r="J8" s="31">
        <f t="shared" ref="J8:J11" si="7">DIVIDE(H8,SUM(H8:I8))</f>
        <v>0.6153846154</v>
      </c>
      <c r="K8" s="32" t="s">
        <v>15</v>
      </c>
      <c r="L8" s="33">
        <v>6.0</v>
      </c>
      <c r="M8" s="33">
        <v>5.0</v>
      </c>
      <c r="N8" s="34">
        <f t="shared" ref="N8:N11" si="8">DIVIDE(L8,SUM(L8:M8))</f>
        <v>0.5454545455</v>
      </c>
      <c r="O8" s="32" t="s">
        <v>16</v>
      </c>
      <c r="P8" s="33">
        <v>6.0</v>
      </c>
      <c r="Q8" s="33">
        <v>6.0</v>
      </c>
      <c r="R8" s="35">
        <f t="shared" ref="R8:R11" si="9">DIVIDE(P8,SUM(P8:Q8))</f>
        <v>0.5</v>
      </c>
      <c r="S8" s="32" t="s">
        <v>17</v>
      </c>
      <c r="T8" s="33">
        <v>6.0</v>
      </c>
      <c r="U8" s="33">
        <v>10.0</v>
      </c>
      <c r="V8" s="35">
        <f t="shared" ref="V8:V11" si="10">DIVIDE(T8,SUM(T8:U8))</f>
        <v>0.375</v>
      </c>
      <c r="X8" s="36">
        <f>AVERAGE(N8:N9)</f>
        <v>0.7727272727</v>
      </c>
      <c r="AB8" s="36">
        <f>AVERAGE(R8:R9)</f>
        <v>0.5227272727</v>
      </c>
    </row>
    <row r="9">
      <c r="C9" s="25" t="s">
        <v>18</v>
      </c>
      <c r="D9" s="30">
        <v>8.0</v>
      </c>
      <c r="E9" s="30">
        <v>7.0</v>
      </c>
      <c r="F9" s="31">
        <f t="shared" si="6"/>
        <v>0.5333333333</v>
      </c>
      <c r="G9" s="32" t="s">
        <v>19</v>
      </c>
      <c r="H9" s="33">
        <v>8.0</v>
      </c>
      <c r="I9" s="33">
        <v>8.0</v>
      </c>
      <c r="J9" s="31">
        <f t="shared" si="7"/>
        <v>0.5</v>
      </c>
      <c r="K9" s="32" t="s">
        <v>20</v>
      </c>
      <c r="L9" s="33">
        <v>8.0</v>
      </c>
      <c r="M9" s="33">
        <v>0.0</v>
      </c>
      <c r="N9" s="34">
        <f t="shared" si="8"/>
        <v>1</v>
      </c>
      <c r="O9" s="32" t="s">
        <v>21</v>
      </c>
      <c r="P9" s="33">
        <v>6.0</v>
      </c>
      <c r="Q9" s="33">
        <v>5.0</v>
      </c>
      <c r="R9" s="35">
        <f t="shared" si="9"/>
        <v>0.5454545455</v>
      </c>
      <c r="S9" s="32" t="s">
        <v>22</v>
      </c>
      <c r="T9" s="33">
        <v>6.0</v>
      </c>
      <c r="U9" s="33">
        <v>12.0</v>
      </c>
      <c r="V9" s="35">
        <f t="shared" si="10"/>
        <v>0.3333333333</v>
      </c>
    </row>
    <row r="10">
      <c r="C10" s="25" t="s">
        <v>23</v>
      </c>
      <c r="D10" s="30">
        <v>6.0</v>
      </c>
      <c r="E10" s="30">
        <v>12.0</v>
      </c>
      <c r="F10" s="31">
        <f t="shared" si="6"/>
        <v>0.3333333333</v>
      </c>
      <c r="G10" s="32" t="s">
        <v>24</v>
      </c>
      <c r="H10" s="33">
        <v>5.0</v>
      </c>
      <c r="I10" s="33">
        <v>5.0</v>
      </c>
      <c r="J10" s="31">
        <f t="shared" si="7"/>
        <v>0.5</v>
      </c>
      <c r="K10" s="32" t="s">
        <v>25</v>
      </c>
      <c r="L10" s="33">
        <v>7.0</v>
      </c>
      <c r="M10" s="33">
        <v>1.0</v>
      </c>
      <c r="N10" s="34">
        <f t="shared" si="8"/>
        <v>0.875</v>
      </c>
      <c r="O10" s="32" t="s">
        <v>26</v>
      </c>
      <c r="P10" s="33">
        <v>8.0</v>
      </c>
      <c r="Q10" s="33">
        <v>1.0</v>
      </c>
      <c r="R10" s="35">
        <f t="shared" si="9"/>
        <v>0.8888888889</v>
      </c>
      <c r="S10" s="32" t="s">
        <v>27</v>
      </c>
      <c r="T10" s="33">
        <v>8.0</v>
      </c>
      <c r="U10" s="33">
        <v>8.0</v>
      </c>
      <c r="V10" s="35">
        <f t="shared" si="10"/>
        <v>0.5</v>
      </c>
      <c r="X10" s="36">
        <f>AVERAGE(N10:N11)</f>
        <v>0.65625</v>
      </c>
      <c r="AB10" s="36">
        <f>AVERAGE(R10:R11)</f>
        <v>0.6209150327</v>
      </c>
    </row>
    <row r="11">
      <c r="C11" s="25" t="s">
        <v>28</v>
      </c>
      <c r="D11" s="30">
        <v>8.0</v>
      </c>
      <c r="E11" s="30">
        <v>9.0</v>
      </c>
      <c r="F11" s="31">
        <f t="shared" si="6"/>
        <v>0.4705882353</v>
      </c>
      <c r="G11" s="32" t="s">
        <v>29</v>
      </c>
      <c r="H11" s="33">
        <v>1.0</v>
      </c>
      <c r="I11" s="33">
        <v>0.0</v>
      </c>
      <c r="J11" s="31">
        <f t="shared" si="7"/>
        <v>1</v>
      </c>
      <c r="K11" s="32" t="s">
        <v>30</v>
      </c>
      <c r="L11" s="33">
        <v>7.0</v>
      </c>
      <c r="M11" s="33">
        <v>9.0</v>
      </c>
      <c r="N11" s="34">
        <f t="shared" si="8"/>
        <v>0.4375</v>
      </c>
      <c r="O11" s="32" t="s">
        <v>31</v>
      </c>
      <c r="P11" s="33">
        <v>6.0</v>
      </c>
      <c r="Q11" s="33">
        <v>11.0</v>
      </c>
      <c r="R11" s="35">
        <f t="shared" si="9"/>
        <v>0.3529411765</v>
      </c>
      <c r="S11" s="32" t="s">
        <v>32</v>
      </c>
      <c r="T11" s="33">
        <v>7.0</v>
      </c>
      <c r="U11" s="33">
        <v>5.0</v>
      </c>
      <c r="V11" s="35">
        <f t="shared" si="10"/>
        <v>0.5833333333</v>
      </c>
    </row>
    <row r="12">
      <c r="C12" s="37" t="s">
        <v>33</v>
      </c>
      <c r="F12" s="38">
        <f>AVERAGE(F8:F11)</f>
        <v>0.4496983409</v>
      </c>
      <c r="G12" s="37" t="s">
        <v>33</v>
      </c>
      <c r="J12" s="38">
        <f>AVERAGE(J8:J11)</f>
        <v>0.6538461538</v>
      </c>
      <c r="K12" s="37" t="s">
        <v>33</v>
      </c>
      <c r="N12" s="38">
        <f>AVERAGE(N8:N11)</f>
        <v>0.7144886364</v>
      </c>
      <c r="O12" s="37" t="s">
        <v>33</v>
      </c>
      <c r="R12" s="38">
        <f>AVERAGE(R8:R11)</f>
        <v>0.5718211527</v>
      </c>
      <c r="S12" s="37" t="s">
        <v>33</v>
      </c>
      <c r="V12" s="38">
        <f>AVERAGE(V8:V11)</f>
        <v>0.4479166667</v>
      </c>
    </row>
    <row r="13">
      <c r="A13" s="25" t="s">
        <v>35</v>
      </c>
      <c r="B13" s="29" t="s">
        <v>12</v>
      </c>
      <c r="C13" s="25" t="s">
        <v>13</v>
      </c>
      <c r="D13" s="30">
        <v>7.0</v>
      </c>
      <c r="E13" s="30">
        <v>11.0</v>
      </c>
      <c r="F13" s="31">
        <f t="shared" ref="F13:F16" si="11">DIVIDE(D13,SUM(D13:E13))</f>
        <v>0.3888888889</v>
      </c>
      <c r="G13" s="32" t="s">
        <v>14</v>
      </c>
      <c r="H13" s="33">
        <v>8.0</v>
      </c>
      <c r="I13" s="33">
        <v>3.0</v>
      </c>
      <c r="J13" s="31">
        <f t="shared" ref="J13:J16" si="12">DIVIDE(H13,SUM(H13:I13))</f>
        <v>0.7272727273</v>
      </c>
      <c r="K13" s="32" t="s">
        <v>15</v>
      </c>
      <c r="L13" s="33">
        <v>7.0</v>
      </c>
      <c r="M13" s="33">
        <v>8.0</v>
      </c>
      <c r="N13" s="34">
        <f t="shared" ref="N13:N16" si="13">DIVIDE(L13,SUM(L13:M13))</f>
        <v>0.4666666667</v>
      </c>
      <c r="O13" s="32" t="s">
        <v>16</v>
      </c>
      <c r="P13" s="33">
        <v>8.0</v>
      </c>
      <c r="Q13" s="33">
        <v>7.0</v>
      </c>
      <c r="R13" s="35">
        <f t="shared" ref="R13:R16" si="14">DIVIDE(P13,SUM(P13:Q13))</f>
        <v>0.5333333333</v>
      </c>
      <c r="S13" s="32" t="s">
        <v>17</v>
      </c>
      <c r="T13" s="33">
        <v>7.0</v>
      </c>
      <c r="U13" s="33">
        <v>11.0</v>
      </c>
      <c r="V13" s="35">
        <f t="shared" ref="V13:V16" si="15">DIVIDE(T13,SUM(T13:U13))</f>
        <v>0.3888888889</v>
      </c>
      <c r="X13" s="36">
        <f>AVERAGE(N13:N14)</f>
        <v>0.525</v>
      </c>
      <c r="AB13" s="36">
        <f>AVERAGE(R13:R14)</f>
        <v>0.7666666667</v>
      </c>
    </row>
    <row r="14">
      <c r="C14" s="25" t="s">
        <v>18</v>
      </c>
      <c r="D14" s="30">
        <v>8.0</v>
      </c>
      <c r="E14" s="30">
        <v>6.0</v>
      </c>
      <c r="F14" s="31">
        <f t="shared" si="11"/>
        <v>0.5714285714</v>
      </c>
      <c r="G14" s="32" t="s">
        <v>19</v>
      </c>
      <c r="H14" s="33">
        <v>8.0</v>
      </c>
      <c r="I14" s="33">
        <v>2.0</v>
      </c>
      <c r="J14" s="31">
        <f t="shared" si="12"/>
        <v>0.8</v>
      </c>
      <c r="K14" s="32" t="s">
        <v>20</v>
      </c>
      <c r="L14" s="33">
        <v>7.0</v>
      </c>
      <c r="M14" s="33">
        <v>5.0</v>
      </c>
      <c r="N14" s="34">
        <f t="shared" si="13"/>
        <v>0.5833333333</v>
      </c>
      <c r="O14" s="32" t="s">
        <v>21</v>
      </c>
      <c r="P14" s="33">
        <v>6.0</v>
      </c>
      <c r="Q14" s="39"/>
      <c r="R14" s="35">
        <f t="shared" si="14"/>
        <v>1</v>
      </c>
      <c r="S14" s="32" t="s">
        <v>22</v>
      </c>
      <c r="T14" s="33">
        <v>8.0</v>
      </c>
      <c r="U14" s="33">
        <v>9.0</v>
      </c>
      <c r="V14" s="35">
        <f t="shared" si="15"/>
        <v>0.4705882353</v>
      </c>
    </row>
    <row r="15">
      <c r="C15" s="25" t="s">
        <v>23</v>
      </c>
      <c r="D15" s="30">
        <v>8.0</v>
      </c>
      <c r="E15" s="30">
        <v>5.0</v>
      </c>
      <c r="F15" s="31">
        <f t="shared" si="11"/>
        <v>0.6153846154</v>
      </c>
      <c r="G15" s="32" t="s">
        <v>24</v>
      </c>
      <c r="H15" s="33">
        <v>6.0</v>
      </c>
      <c r="I15" s="33">
        <v>3.0</v>
      </c>
      <c r="J15" s="31">
        <f t="shared" si="12"/>
        <v>0.6666666667</v>
      </c>
      <c r="K15" s="32" t="s">
        <v>25</v>
      </c>
      <c r="L15" s="33">
        <v>8.0</v>
      </c>
      <c r="M15" s="33">
        <v>3.0</v>
      </c>
      <c r="N15" s="34">
        <f t="shared" si="13"/>
        <v>0.7272727273</v>
      </c>
      <c r="O15" s="32" t="s">
        <v>26</v>
      </c>
      <c r="P15" s="33">
        <v>8.0</v>
      </c>
      <c r="Q15" s="39"/>
      <c r="R15" s="35">
        <f t="shared" si="14"/>
        <v>1</v>
      </c>
      <c r="S15" s="32" t="s">
        <v>27</v>
      </c>
      <c r="T15" s="33">
        <v>8.0</v>
      </c>
      <c r="U15" s="33">
        <v>8.0</v>
      </c>
      <c r="V15" s="35">
        <f t="shared" si="15"/>
        <v>0.5</v>
      </c>
      <c r="X15" s="36">
        <f>AVERAGE(N15:N16)</f>
        <v>0.7525252525</v>
      </c>
      <c r="AB15" s="36">
        <f>AVERAGE(R15:R16)</f>
        <v>0.6842105263</v>
      </c>
    </row>
    <row r="16">
      <c r="C16" s="25" t="s">
        <v>28</v>
      </c>
      <c r="D16" s="30">
        <v>8.0</v>
      </c>
      <c r="E16" s="30">
        <v>1.0</v>
      </c>
      <c r="F16" s="31">
        <f t="shared" si="11"/>
        <v>0.8888888889</v>
      </c>
      <c r="G16" s="32" t="s">
        <v>29</v>
      </c>
      <c r="H16" s="33">
        <v>1.0</v>
      </c>
      <c r="I16" s="33">
        <v>0.0</v>
      </c>
      <c r="J16" s="31">
        <f t="shared" si="12"/>
        <v>1</v>
      </c>
      <c r="K16" s="32" t="s">
        <v>30</v>
      </c>
      <c r="L16" s="33">
        <v>7.0</v>
      </c>
      <c r="M16" s="33">
        <v>2.0</v>
      </c>
      <c r="N16" s="34">
        <f t="shared" si="13"/>
        <v>0.7777777778</v>
      </c>
      <c r="O16" s="32" t="s">
        <v>31</v>
      </c>
      <c r="P16" s="33">
        <v>7.0</v>
      </c>
      <c r="Q16" s="33">
        <v>12.0</v>
      </c>
      <c r="R16" s="35">
        <f t="shared" si="14"/>
        <v>0.3684210526</v>
      </c>
      <c r="S16" s="32" t="s">
        <v>32</v>
      </c>
      <c r="T16" s="33">
        <v>7.0</v>
      </c>
      <c r="U16" s="33">
        <v>4.0</v>
      </c>
      <c r="V16" s="35">
        <f t="shared" si="15"/>
        <v>0.6363636364</v>
      </c>
    </row>
    <row r="17">
      <c r="C17" s="37" t="s">
        <v>33</v>
      </c>
      <c r="F17" s="38">
        <f>AVERAGE(F13:F16)</f>
        <v>0.6161477411</v>
      </c>
      <c r="G17" s="37" t="s">
        <v>33</v>
      </c>
      <c r="J17" s="38">
        <f>AVERAGE(J13:J16)</f>
        <v>0.7984848485</v>
      </c>
      <c r="K17" s="37" t="s">
        <v>33</v>
      </c>
      <c r="N17" s="38">
        <f>AVERAGE(N13:N16)</f>
        <v>0.6387626263</v>
      </c>
      <c r="O17" s="37" t="s">
        <v>33</v>
      </c>
      <c r="R17" s="38">
        <f>AVERAGE(R13:R16)</f>
        <v>0.7254385965</v>
      </c>
      <c r="S17" s="37" t="s">
        <v>33</v>
      </c>
      <c r="V17" s="38">
        <f>AVERAGE(V13:V16)</f>
        <v>0.4989601901</v>
      </c>
    </row>
    <row r="18">
      <c r="A18" s="25" t="s">
        <v>36</v>
      </c>
      <c r="B18" s="29" t="s">
        <v>12</v>
      </c>
      <c r="C18" s="25" t="s">
        <v>13</v>
      </c>
      <c r="D18" s="30">
        <v>6.0</v>
      </c>
      <c r="E18" s="30">
        <v>2.0</v>
      </c>
      <c r="F18" s="31">
        <f t="shared" ref="F18:F21" si="16">DIVIDE(D18,SUM(D18:E18))</f>
        <v>0.75</v>
      </c>
      <c r="G18" s="32" t="s">
        <v>14</v>
      </c>
      <c r="H18" s="33">
        <v>7.0</v>
      </c>
      <c r="I18" s="33">
        <v>6.0</v>
      </c>
      <c r="J18" s="31">
        <f t="shared" ref="J18:J20" si="17">DIVIDE(H18,SUM(H18:I18))</f>
        <v>0.5384615385</v>
      </c>
      <c r="K18" s="32" t="s">
        <v>15</v>
      </c>
      <c r="L18" s="33">
        <v>7.0</v>
      </c>
      <c r="M18" s="33">
        <v>3.0</v>
      </c>
      <c r="N18" s="34">
        <f t="shared" ref="N18:N21" si="18">DIVIDE(L18,SUM(L18:M18))</f>
        <v>0.7</v>
      </c>
      <c r="O18" s="32" t="s">
        <v>16</v>
      </c>
      <c r="P18" s="33">
        <v>3.0</v>
      </c>
      <c r="Q18" s="33">
        <v>0.0</v>
      </c>
      <c r="R18" s="35">
        <f t="shared" ref="R18:R21" si="19">DIVIDE(P18,SUM(P18:Q18))</f>
        <v>1</v>
      </c>
      <c r="S18" s="32" t="s">
        <v>17</v>
      </c>
      <c r="T18" s="33">
        <v>5.0</v>
      </c>
      <c r="U18" s="33">
        <v>0.0</v>
      </c>
      <c r="V18" s="35">
        <f t="shared" ref="V18:V21" si="20">DIVIDE(T18,SUM(T18:U18))</f>
        <v>1</v>
      </c>
      <c r="X18" s="36">
        <f>AVERAGE(N18:N19)</f>
        <v>0.56875</v>
      </c>
      <c r="AB18" s="36">
        <f>AVERAGE(R18:R19)</f>
        <v>0.75</v>
      </c>
    </row>
    <row r="19">
      <c r="C19" s="25" t="s">
        <v>18</v>
      </c>
      <c r="D19" s="30">
        <v>8.0</v>
      </c>
      <c r="E19" s="30">
        <v>12.0</v>
      </c>
      <c r="F19" s="31">
        <f t="shared" si="16"/>
        <v>0.4</v>
      </c>
      <c r="G19" s="32" t="s">
        <v>19</v>
      </c>
      <c r="H19" s="33">
        <v>7.0</v>
      </c>
      <c r="I19" s="33">
        <v>7.0</v>
      </c>
      <c r="J19" s="31">
        <f t="shared" si="17"/>
        <v>0.5</v>
      </c>
      <c r="K19" s="32" t="s">
        <v>20</v>
      </c>
      <c r="L19" s="33">
        <v>7.0</v>
      </c>
      <c r="M19" s="33">
        <v>9.0</v>
      </c>
      <c r="N19" s="34">
        <f t="shared" si="18"/>
        <v>0.4375</v>
      </c>
      <c r="O19" s="32" t="s">
        <v>21</v>
      </c>
      <c r="P19" s="33">
        <v>1.0</v>
      </c>
      <c r="Q19" s="33">
        <v>1.0</v>
      </c>
      <c r="R19" s="35">
        <f t="shared" si="19"/>
        <v>0.5</v>
      </c>
      <c r="S19" s="32" t="s">
        <v>22</v>
      </c>
      <c r="T19" s="33">
        <v>6.0</v>
      </c>
      <c r="U19" s="33">
        <v>2.0</v>
      </c>
      <c r="V19" s="35">
        <f t="shared" si="20"/>
        <v>0.75</v>
      </c>
    </row>
    <row r="20">
      <c r="C20" s="25" t="s">
        <v>23</v>
      </c>
      <c r="D20" s="30">
        <v>6.0</v>
      </c>
      <c r="E20" s="30">
        <v>6.0</v>
      </c>
      <c r="F20" s="31">
        <f t="shared" si="16"/>
        <v>0.5</v>
      </c>
      <c r="G20" s="32" t="s">
        <v>24</v>
      </c>
      <c r="H20" s="33">
        <v>6.0</v>
      </c>
      <c r="I20" s="33">
        <v>0.0</v>
      </c>
      <c r="J20" s="31">
        <f t="shared" si="17"/>
        <v>1</v>
      </c>
      <c r="K20" s="32" t="s">
        <v>25</v>
      </c>
      <c r="L20" s="33">
        <v>4.0</v>
      </c>
      <c r="M20" s="33">
        <v>0.0</v>
      </c>
      <c r="N20" s="34">
        <f t="shared" si="18"/>
        <v>1</v>
      </c>
      <c r="O20" s="32" t="s">
        <v>26</v>
      </c>
      <c r="P20" s="33">
        <v>8.0</v>
      </c>
      <c r="Q20" s="33">
        <v>1.0</v>
      </c>
      <c r="R20" s="35">
        <f t="shared" si="19"/>
        <v>0.8888888889</v>
      </c>
      <c r="S20" s="32" t="s">
        <v>27</v>
      </c>
      <c r="T20" s="33">
        <v>7.0</v>
      </c>
      <c r="U20" s="33">
        <v>3.0</v>
      </c>
      <c r="V20" s="35">
        <f t="shared" si="20"/>
        <v>0.7</v>
      </c>
      <c r="X20" s="36">
        <f>AVERAGE(N20:N21)</f>
        <v>0.75</v>
      </c>
      <c r="AB20" s="36">
        <f>AVERAGE(R20:R21)</f>
        <v>0.7136752137</v>
      </c>
    </row>
    <row r="21">
      <c r="C21" s="25" t="s">
        <v>28</v>
      </c>
      <c r="D21" s="30">
        <v>8.0</v>
      </c>
      <c r="E21" s="30">
        <v>2.0</v>
      </c>
      <c r="F21" s="31">
        <f t="shared" si="16"/>
        <v>0.8</v>
      </c>
      <c r="G21" s="32" t="s">
        <v>29</v>
      </c>
      <c r="H21" s="33">
        <v>0.0</v>
      </c>
      <c r="I21" s="33">
        <v>0.0</v>
      </c>
      <c r="J21" s="31">
        <v>0.0</v>
      </c>
      <c r="K21" s="32" t="s">
        <v>30</v>
      </c>
      <c r="L21" s="33">
        <v>6.0</v>
      </c>
      <c r="M21" s="33">
        <v>6.0</v>
      </c>
      <c r="N21" s="34">
        <f t="shared" si="18"/>
        <v>0.5</v>
      </c>
      <c r="O21" s="32" t="s">
        <v>31</v>
      </c>
      <c r="P21" s="33">
        <v>7.0</v>
      </c>
      <c r="Q21" s="33">
        <v>6.0</v>
      </c>
      <c r="R21" s="35">
        <f t="shared" si="19"/>
        <v>0.5384615385</v>
      </c>
      <c r="S21" s="32" t="s">
        <v>32</v>
      </c>
      <c r="T21" s="33">
        <v>7.0</v>
      </c>
      <c r="U21" s="33">
        <v>10.0</v>
      </c>
      <c r="V21" s="35">
        <f t="shared" si="20"/>
        <v>0.4117647059</v>
      </c>
    </row>
    <row r="22">
      <c r="C22" s="37" t="s">
        <v>33</v>
      </c>
      <c r="F22" s="38">
        <f>AVERAGE(F18:F21)</f>
        <v>0.6125</v>
      </c>
      <c r="G22" s="37" t="s">
        <v>33</v>
      </c>
      <c r="J22" s="38">
        <f>AVERAGE(J18:J21)</f>
        <v>0.5096153846</v>
      </c>
      <c r="K22" s="37" t="s">
        <v>33</v>
      </c>
      <c r="N22" s="38">
        <f>AVERAGE(N18:N21)</f>
        <v>0.659375</v>
      </c>
      <c r="O22" s="37" t="s">
        <v>33</v>
      </c>
      <c r="R22" s="38">
        <f>AVERAGE(R18:R21)</f>
        <v>0.7318376068</v>
      </c>
      <c r="S22" s="37" t="s">
        <v>33</v>
      </c>
      <c r="V22" s="38">
        <f>AVERAGE(V18:V21)</f>
        <v>0.7154411765</v>
      </c>
    </row>
    <row r="23">
      <c r="A23" s="25" t="s">
        <v>37</v>
      </c>
      <c r="B23" s="29" t="s">
        <v>12</v>
      </c>
      <c r="C23" s="25" t="s">
        <v>13</v>
      </c>
      <c r="D23" s="30">
        <v>8.0</v>
      </c>
      <c r="E23" s="30">
        <v>2.0</v>
      </c>
      <c r="F23" s="31">
        <f t="shared" ref="F23:F26" si="21">DIVIDE(D23,SUM(D23:E23))</f>
        <v>0.8</v>
      </c>
      <c r="G23" s="32" t="s">
        <v>14</v>
      </c>
      <c r="H23" s="33">
        <v>6.0</v>
      </c>
      <c r="I23" s="33">
        <v>3.0</v>
      </c>
      <c r="J23" s="31">
        <f t="shared" ref="J23:J26" si="22">DIVIDE(H23,SUM(H23:I23))</f>
        <v>0.6666666667</v>
      </c>
      <c r="K23" s="32" t="s">
        <v>15</v>
      </c>
      <c r="L23" s="33">
        <v>6.0</v>
      </c>
      <c r="M23" s="33">
        <v>4.0</v>
      </c>
      <c r="N23" s="34">
        <f t="shared" ref="N23:N26" si="23">DIVIDE(L23,SUM(L23:M23))</f>
        <v>0.6</v>
      </c>
      <c r="O23" s="32" t="s">
        <v>16</v>
      </c>
      <c r="P23" s="33">
        <v>5.0</v>
      </c>
      <c r="Q23" s="33">
        <v>0.0</v>
      </c>
      <c r="R23" s="35">
        <f t="shared" ref="R23:R26" si="24">DIVIDE(P23,SUM(P23:Q23))</f>
        <v>1</v>
      </c>
      <c r="S23" s="32" t="s">
        <v>17</v>
      </c>
      <c r="T23" s="33">
        <v>6.0</v>
      </c>
      <c r="U23" s="33">
        <v>5.0</v>
      </c>
      <c r="V23" s="35">
        <f t="shared" ref="V23:V26" si="25">DIVIDE(T23,SUM(T23:U23))</f>
        <v>0.5454545455</v>
      </c>
      <c r="X23" s="36">
        <f>AVERAGE(N23:N24)</f>
        <v>0.4944444444</v>
      </c>
      <c r="AB23" s="36">
        <f>AVERAGE(R23:R24)</f>
        <v>0.9375</v>
      </c>
    </row>
    <row r="24">
      <c r="C24" s="25" t="s">
        <v>18</v>
      </c>
      <c r="D24" s="30">
        <v>8.0</v>
      </c>
      <c r="E24" s="30">
        <v>5.0</v>
      </c>
      <c r="F24" s="31">
        <f t="shared" si="21"/>
        <v>0.6153846154</v>
      </c>
      <c r="G24" s="32" t="s">
        <v>19</v>
      </c>
      <c r="H24" s="33">
        <v>8.0</v>
      </c>
      <c r="I24" s="33">
        <v>2.0</v>
      </c>
      <c r="J24" s="31">
        <f t="shared" si="22"/>
        <v>0.8</v>
      </c>
      <c r="K24" s="32" t="s">
        <v>20</v>
      </c>
      <c r="L24" s="33">
        <v>7.0</v>
      </c>
      <c r="M24" s="33">
        <v>11.0</v>
      </c>
      <c r="N24" s="34">
        <f t="shared" si="23"/>
        <v>0.3888888889</v>
      </c>
      <c r="O24" s="32" t="s">
        <v>21</v>
      </c>
      <c r="P24" s="33">
        <v>7.0</v>
      </c>
      <c r="Q24" s="33">
        <v>1.0</v>
      </c>
      <c r="R24" s="35">
        <f t="shared" si="24"/>
        <v>0.875</v>
      </c>
      <c r="S24" s="32" t="s">
        <v>22</v>
      </c>
      <c r="T24" s="33">
        <v>1.0</v>
      </c>
      <c r="U24" s="33">
        <v>0.0</v>
      </c>
      <c r="V24" s="35">
        <f t="shared" si="25"/>
        <v>1</v>
      </c>
    </row>
    <row r="25">
      <c r="C25" s="25" t="s">
        <v>23</v>
      </c>
      <c r="D25" s="30">
        <v>6.0</v>
      </c>
      <c r="E25" s="30">
        <v>6.0</v>
      </c>
      <c r="F25" s="31">
        <f t="shared" si="21"/>
        <v>0.5</v>
      </c>
      <c r="G25" s="32" t="s">
        <v>24</v>
      </c>
      <c r="H25" s="33">
        <v>4.0</v>
      </c>
      <c r="I25" s="33">
        <v>0.0</v>
      </c>
      <c r="J25" s="31">
        <f t="shared" si="22"/>
        <v>1</v>
      </c>
      <c r="K25" s="32" t="s">
        <v>25</v>
      </c>
      <c r="L25" s="33">
        <v>1.0</v>
      </c>
      <c r="M25" s="33">
        <v>0.0</v>
      </c>
      <c r="N25" s="34">
        <f t="shared" si="23"/>
        <v>1</v>
      </c>
      <c r="O25" s="32" t="s">
        <v>26</v>
      </c>
      <c r="P25" s="33">
        <v>7.0</v>
      </c>
      <c r="Q25" s="33">
        <v>8.0</v>
      </c>
      <c r="R25" s="35">
        <f t="shared" si="24"/>
        <v>0.4666666667</v>
      </c>
      <c r="S25" s="32" t="s">
        <v>27</v>
      </c>
      <c r="T25" s="33">
        <v>5.0</v>
      </c>
      <c r="U25" s="33">
        <v>1.0</v>
      </c>
      <c r="V25" s="35">
        <f t="shared" si="25"/>
        <v>0.8333333333</v>
      </c>
      <c r="X25" s="36">
        <f>AVERAGE(N25:N26)</f>
        <v>0.7</v>
      </c>
      <c r="AB25" s="36">
        <f>AVERAGE(R25:R26)</f>
        <v>0.4438596491</v>
      </c>
    </row>
    <row r="26">
      <c r="C26" s="25" t="s">
        <v>28</v>
      </c>
      <c r="D26" s="30">
        <v>7.0</v>
      </c>
      <c r="E26" s="30">
        <v>4.0</v>
      </c>
      <c r="F26" s="31">
        <f t="shared" si="21"/>
        <v>0.6363636364</v>
      </c>
      <c r="G26" s="32" t="s">
        <v>29</v>
      </c>
      <c r="H26" s="33">
        <v>2.0</v>
      </c>
      <c r="I26" s="33">
        <v>0.0</v>
      </c>
      <c r="J26" s="31">
        <f t="shared" si="22"/>
        <v>1</v>
      </c>
      <c r="K26" s="32" t="s">
        <v>30</v>
      </c>
      <c r="L26" s="33">
        <v>8.0</v>
      </c>
      <c r="M26" s="33">
        <v>12.0</v>
      </c>
      <c r="N26" s="34">
        <f t="shared" si="23"/>
        <v>0.4</v>
      </c>
      <c r="O26" s="32" t="s">
        <v>31</v>
      </c>
      <c r="P26" s="33">
        <v>8.0</v>
      </c>
      <c r="Q26" s="33">
        <v>11.0</v>
      </c>
      <c r="R26" s="35">
        <f t="shared" si="24"/>
        <v>0.4210526316</v>
      </c>
      <c r="S26" s="32" t="s">
        <v>32</v>
      </c>
      <c r="T26" s="33">
        <v>8.0</v>
      </c>
      <c r="U26" s="33">
        <v>5.0</v>
      </c>
      <c r="V26" s="35">
        <f t="shared" si="25"/>
        <v>0.6153846154</v>
      </c>
    </row>
    <row r="27">
      <c r="C27" s="37" t="s">
        <v>33</v>
      </c>
      <c r="F27" s="38">
        <f>AVERAGE(F23:F26)</f>
        <v>0.6379370629</v>
      </c>
      <c r="G27" s="37" t="s">
        <v>33</v>
      </c>
      <c r="J27" s="38">
        <f>AVERAGE(J23:J26)</f>
        <v>0.8666666667</v>
      </c>
      <c r="K27" s="37" t="s">
        <v>33</v>
      </c>
      <c r="N27" s="38">
        <f>AVERAGE(N23:N26)</f>
        <v>0.5972222222</v>
      </c>
      <c r="O27" s="37" t="s">
        <v>33</v>
      </c>
      <c r="R27" s="38">
        <f>AVERAGE(R23:R26)</f>
        <v>0.6906798246</v>
      </c>
      <c r="S27" s="37" t="s">
        <v>33</v>
      </c>
      <c r="V27" s="38">
        <f>AVERAGE(V23:V26)</f>
        <v>0.7485431235</v>
      </c>
    </row>
    <row r="28">
      <c r="A28" s="25" t="s">
        <v>38</v>
      </c>
      <c r="B28" s="29" t="s">
        <v>12</v>
      </c>
      <c r="C28" s="25" t="s">
        <v>13</v>
      </c>
      <c r="D28" s="30">
        <v>6.0</v>
      </c>
      <c r="E28" s="30">
        <v>3.0</v>
      </c>
      <c r="F28" s="31">
        <f t="shared" ref="F28:F31" si="26">DIVIDE(D28,SUM(D28:E28))</f>
        <v>0.6666666667</v>
      </c>
      <c r="G28" s="32" t="s">
        <v>14</v>
      </c>
      <c r="H28" s="33">
        <v>3.0</v>
      </c>
      <c r="I28" s="33">
        <v>1.0</v>
      </c>
      <c r="J28" s="31">
        <f t="shared" ref="J28:J30" si="27">DIVIDE(H28,SUM(H28:I28))</f>
        <v>0.75</v>
      </c>
      <c r="K28" s="32" t="s">
        <v>15</v>
      </c>
      <c r="L28" s="33">
        <v>3.0</v>
      </c>
      <c r="M28" s="33">
        <v>1.0</v>
      </c>
      <c r="N28" s="34">
        <f t="shared" ref="N28:N31" si="28">DIVIDE(L28,SUM(L28:M28))</f>
        <v>0.75</v>
      </c>
      <c r="O28" s="32" t="s">
        <v>16</v>
      </c>
      <c r="P28" s="33">
        <v>5.0</v>
      </c>
      <c r="Q28" s="33">
        <v>0.0</v>
      </c>
      <c r="R28" s="35">
        <f t="shared" ref="R28:R31" si="29">DIVIDE(P28,SUM(P28:Q28))</f>
        <v>1</v>
      </c>
      <c r="S28" s="32" t="s">
        <v>17</v>
      </c>
      <c r="T28" s="33">
        <v>7.0</v>
      </c>
      <c r="U28" s="33">
        <v>2.0</v>
      </c>
      <c r="V28" s="35">
        <f t="shared" ref="V28:V29" si="30">DIVIDE(T28,SUM(T28:U28))</f>
        <v>0.7777777778</v>
      </c>
      <c r="X28" s="36">
        <f>AVERAGE(N28:N29)</f>
        <v>0.59375</v>
      </c>
      <c r="AB28" s="36">
        <f>AVERAGE(R28:R29)</f>
        <v>0.8</v>
      </c>
    </row>
    <row r="29">
      <c r="C29" s="25" t="s">
        <v>18</v>
      </c>
      <c r="D29" s="30">
        <v>8.0</v>
      </c>
      <c r="E29" s="30">
        <v>7.0</v>
      </c>
      <c r="F29" s="31">
        <f t="shared" si="26"/>
        <v>0.5333333333</v>
      </c>
      <c r="G29" s="32" t="s">
        <v>19</v>
      </c>
      <c r="H29" s="33">
        <v>6.0</v>
      </c>
      <c r="I29" s="33">
        <v>11.0</v>
      </c>
      <c r="J29" s="31">
        <f t="shared" si="27"/>
        <v>0.3529411765</v>
      </c>
      <c r="K29" s="32" t="s">
        <v>20</v>
      </c>
      <c r="L29" s="33">
        <v>7.0</v>
      </c>
      <c r="M29" s="33">
        <v>9.0</v>
      </c>
      <c r="N29" s="34">
        <f t="shared" si="28"/>
        <v>0.4375</v>
      </c>
      <c r="O29" s="32" t="s">
        <v>21</v>
      </c>
      <c r="P29" s="33">
        <v>6.0</v>
      </c>
      <c r="Q29" s="33">
        <v>4.0</v>
      </c>
      <c r="R29" s="35">
        <f t="shared" si="29"/>
        <v>0.6</v>
      </c>
      <c r="S29" s="32" t="s">
        <v>22</v>
      </c>
      <c r="T29" s="33">
        <v>5.0</v>
      </c>
      <c r="U29" s="33">
        <v>4.0</v>
      </c>
      <c r="V29" s="35">
        <f t="shared" si="30"/>
        <v>0.5555555556</v>
      </c>
    </row>
    <row r="30">
      <c r="C30" s="25" t="s">
        <v>23</v>
      </c>
      <c r="D30" s="30">
        <v>8.0</v>
      </c>
      <c r="E30" s="30">
        <v>11.0</v>
      </c>
      <c r="F30" s="31">
        <f t="shared" si="26"/>
        <v>0.4210526316</v>
      </c>
      <c r="G30" s="32" t="s">
        <v>24</v>
      </c>
      <c r="H30" s="33">
        <v>5.0</v>
      </c>
      <c r="I30" s="33">
        <v>2.0</v>
      </c>
      <c r="J30" s="31">
        <f t="shared" si="27"/>
        <v>0.7142857143</v>
      </c>
      <c r="K30" s="32" t="s">
        <v>25</v>
      </c>
      <c r="L30" s="33">
        <v>8.0</v>
      </c>
      <c r="M30" s="33">
        <v>3.0</v>
      </c>
      <c r="N30" s="34">
        <f t="shared" si="28"/>
        <v>0.7272727273</v>
      </c>
      <c r="O30" s="32" t="s">
        <v>26</v>
      </c>
      <c r="P30" s="33">
        <v>8.0</v>
      </c>
      <c r="Q30" s="33">
        <v>2.0</v>
      </c>
      <c r="R30" s="35">
        <f t="shared" si="29"/>
        <v>0.8</v>
      </c>
      <c r="S30" s="32" t="s">
        <v>27</v>
      </c>
      <c r="T30" s="33">
        <v>0.0</v>
      </c>
      <c r="U30" s="33">
        <v>0.0</v>
      </c>
      <c r="V30" s="40">
        <v>0.0</v>
      </c>
      <c r="X30" s="36">
        <f>AVERAGE(N30:N31)</f>
        <v>0.5386363636</v>
      </c>
      <c r="AB30" s="36">
        <f>AVERAGE(R30:R31)</f>
        <v>0.8</v>
      </c>
    </row>
    <row r="31">
      <c r="C31" s="25" t="s">
        <v>28</v>
      </c>
      <c r="D31" s="30">
        <v>6.0</v>
      </c>
      <c r="E31" s="30">
        <v>10.0</v>
      </c>
      <c r="F31" s="31">
        <f t="shared" si="26"/>
        <v>0.375</v>
      </c>
      <c r="G31" s="32" t="s">
        <v>29</v>
      </c>
      <c r="H31" s="41">
        <v>0.0</v>
      </c>
      <c r="I31" s="33">
        <v>0.0</v>
      </c>
      <c r="J31" s="31">
        <v>0.0</v>
      </c>
      <c r="K31" s="32" t="s">
        <v>30</v>
      </c>
      <c r="L31" s="33">
        <v>7.0</v>
      </c>
      <c r="M31" s="33">
        <v>13.0</v>
      </c>
      <c r="N31" s="34">
        <f t="shared" si="28"/>
        <v>0.35</v>
      </c>
      <c r="O31" s="32" t="s">
        <v>31</v>
      </c>
      <c r="P31" s="33">
        <v>8.0</v>
      </c>
      <c r="Q31" s="33">
        <v>2.0</v>
      </c>
      <c r="R31" s="35">
        <f t="shared" si="29"/>
        <v>0.8</v>
      </c>
      <c r="S31" s="32" t="s">
        <v>32</v>
      </c>
      <c r="T31" s="33">
        <v>8.0</v>
      </c>
      <c r="U31" s="33">
        <v>13.0</v>
      </c>
      <c r="V31" s="35">
        <f>DIVIDE(T31,SUM(T31:U31))</f>
        <v>0.380952381</v>
      </c>
    </row>
    <row r="32">
      <c r="C32" s="37" t="s">
        <v>33</v>
      </c>
      <c r="F32" s="38">
        <f>AVERAGE(F28:F31)</f>
        <v>0.4990131579</v>
      </c>
      <c r="G32" s="37" t="s">
        <v>33</v>
      </c>
      <c r="J32" s="38">
        <f>AVERAGE(J28:J31)</f>
        <v>0.4543067227</v>
      </c>
      <c r="K32" s="37" t="s">
        <v>33</v>
      </c>
      <c r="N32" s="38">
        <f>AVERAGE(N28:N31)</f>
        <v>0.5661931818</v>
      </c>
      <c r="O32" s="37" t="s">
        <v>33</v>
      </c>
      <c r="R32" s="38">
        <f>AVERAGE(R28:R31)</f>
        <v>0.8</v>
      </c>
      <c r="S32" s="37" t="s">
        <v>33</v>
      </c>
      <c r="V32" s="38">
        <f>AVERAGE(V28:V31)</f>
        <v>0.4285714286</v>
      </c>
    </row>
    <row r="33">
      <c r="A33" s="25" t="s">
        <v>39</v>
      </c>
      <c r="B33" s="29" t="s">
        <v>12</v>
      </c>
      <c r="C33" s="25" t="s">
        <v>13</v>
      </c>
      <c r="D33" s="30">
        <v>8.0</v>
      </c>
      <c r="E33" s="30">
        <v>2.0</v>
      </c>
      <c r="F33" s="31">
        <f t="shared" ref="F33:F36" si="31">DIVIDE(D33,SUM(D33:E33))</f>
        <v>0.8</v>
      </c>
      <c r="G33" s="32" t="s">
        <v>14</v>
      </c>
      <c r="H33" s="33">
        <v>0.0</v>
      </c>
      <c r="I33" s="33">
        <v>0.0</v>
      </c>
      <c r="J33" s="31">
        <v>0.0</v>
      </c>
      <c r="K33" s="32" t="s">
        <v>15</v>
      </c>
      <c r="L33" s="33">
        <v>4.0</v>
      </c>
      <c r="M33" s="33">
        <v>0.0</v>
      </c>
      <c r="N33" s="34">
        <f t="shared" ref="N33:N36" si="32">DIVIDE(L33,SUM(L33:M33))</f>
        <v>1</v>
      </c>
      <c r="O33" s="32" t="s">
        <v>16</v>
      </c>
      <c r="P33" s="33">
        <v>0.0</v>
      </c>
      <c r="Q33" s="33">
        <v>0.0</v>
      </c>
      <c r="R33" s="40">
        <v>0.0</v>
      </c>
      <c r="S33" s="32" t="s">
        <v>17</v>
      </c>
      <c r="T33" s="33">
        <v>6.0</v>
      </c>
      <c r="U33" s="33">
        <v>8.0</v>
      </c>
      <c r="V33" s="35">
        <f t="shared" ref="V33:V36" si="33">DIVIDE(T33,SUM(T33:U33))</f>
        <v>0.4285714286</v>
      </c>
      <c r="X33" s="36">
        <f>AVERAGE(N33:N34)</f>
        <v>0.7857142857</v>
      </c>
      <c r="AB33" s="36">
        <f>AVERAGE(R33:R34)</f>
        <v>0.2307692308</v>
      </c>
    </row>
    <row r="34">
      <c r="C34" s="25" t="s">
        <v>18</v>
      </c>
      <c r="D34" s="30">
        <v>7.0</v>
      </c>
      <c r="E34" s="30">
        <v>10.0</v>
      </c>
      <c r="F34" s="31">
        <f t="shared" si="31"/>
        <v>0.4117647059</v>
      </c>
      <c r="G34" s="32" t="s">
        <v>19</v>
      </c>
      <c r="H34" s="33">
        <v>8.0</v>
      </c>
      <c r="I34" s="33">
        <v>11.0</v>
      </c>
      <c r="J34" s="31">
        <f t="shared" ref="J34:J36" si="34">DIVIDE(H34,SUM(H34:I34))</f>
        <v>0.4210526316</v>
      </c>
      <c r="K34" s="32" t="s">
        <v>20</v>
      </c>
      <c r="L34" s="33">
        <v>8.0</v>
      </c>
      <c r="M34" s="33">
        <v>6.0</v>
      </c>
      <c r="N34" s="34">
        <f t="shared" si="32"/>
        <v>0.5714285714</v>
      </c>
      <c r="O34" s="32" t="s">
        <v>21</v>
      </c>
      <c r="P34" s="33">
        <v>6.0</v>
      </c>
      <c r="Q34" s="33">
        <v>7.0</v>
      </c>
      <c r="R34" s="35">
        <f t="shared" ref="R34:R36" si="35">DIVIDE(P34,SUM(P34:Q34))</f>
        <v>0.4615384615</v>
      </c>
      <c r="S34" s="32" t="s">
        <v>22</v>
      </c>
      <c r="T34" s="33">
        <v>8.0</v>
      </c>
      <c r="U34" s="33">
        <v>1.0</v>
      </c>
      <c r="V34" s="35">
        <f t="shared" si="33"/>
        <v>0.8888888889</v>
      </c>
    </row>
    <row r="35">
      <c r="C35" s="25" t="s">
        <v>23</v>
      </c>
      <c r="D35" s="30">
        <v>7.0</v>
      </c>
      <c r="E35" s="30">
        <v>13.0</v>
      </c>
      <c r="F35" s="31">
        <f t="shared" si="31"/>
        <v>0.35</v>
      </c>
      <c r="G35" s="32" t="s">
        <v>24</v>
      </c>
      <c r="H35" s="33">
        <v>7.0</v>
      </c>
      <c r="I35" s="33">
        <v>1.0</v>
      </c>
      <c r="J35" s="31">
        <f t="shared" si="34"/>
        <v>0.875</v>
      </c>
      <c r="K35" s="32" t="s">
        <v>25</v>
      </c>
      <c r="L35" s="33">
        <v>8.0</v>
      </c>
      <c r="M35" s="33">
        <v>1.0</v>
      </c>
      <c r="N35" s="34">
        <f t="shared" si="32"/>
        <v>0.8888888889</v>
      </c>
      <c r="O35" s="32" t="s">
        <v>26</v>
      </c>
      <c r="P35" s="33">
        <v>8.0</v>
      </c>
      <c r="Q35" s="33">
        <v>10.0</v>
      </c>
      <c r="R35" s="35">
        <f t="shared" si="35"/>
        <v>0.4444444444</v>
      </c>
      <c r="S35" s="32" t="s">
        <v>27</v>
      </c>
      <c r="T35" s="33">
        <v>2.0</v>
      </c>
      <c r="U35" s="33">
        <v>0.0</v>
      </c>
      <c r="V35" s="35">
        <f t="shared" si="33"/>
        <v>1</v>
      </c>
      <c r="X35" s="36">
        <f>AVERAGE(N35:N36)</f>
        <v>0.8080808081</v>
      </c>
      <c r="AB35" s="36">
        <f>AVERAGE(R35:R36)</f>
        <v>0.3813131313</v>
      </c>
    </row>
    <row r="36">
      <c r="C36" s="25" t="s">
        <v>28</v>
      </c>
      <c r="D36" s="30">
        <v>6.0</v>
      </c>
      <c r="E36" s="30">
        <v>4.0</v>
      </c>
      <c r="F36" s="31">
        <f t="shared" si="31"/>
        <v>0.6</v>
      </c>
      <c r="G36" s="32" t="s">
        <v>29</v>
      </c>
      <c r="H36" s="33">
        <v>1.0</v>
      </c>
      <c r="I36" s="33">
        <v>0.0</v>
      </c>
      <c r="J36" s="31">
        <f t="shared" si="34"/>
        <v>1</v>
      </c>
      <c r="K36" s="32" t="s">
        <v>30</v>
      </c>
      <c r="L36" s="33">
        <v>8.0</v>
      </c>
      <c r="M36" s="33">
        <v>3.0</v>
      </c>
      <c r="N36" s="34">
        <f t="shared" si="32"/>
        <v>0.7272727273</v>
      </c>
      <c r="O36" s="32" t="s">
        <v>31</v>
      </c>
      <c r="P36" s="33">
        <v>7.0</v>
      </c>
      <c r="Q36" s="33">
        <v>15.0</v>
      </c>
      <c r="R36" s="35">
        <f t="shared" si="35"/>
        <v>0.3181818182</v>
      </c>
      <c r="S36" s="32" t="s">
        <v>32</v>
      </c>
      <c r="T36" s="33">
        <v>8.0</v>
      </c>
      <c r="U36" s="33">
        <v>11.0</v>
      </c>
      <c r="V36" s="35">
        <f t="shared" si="33"/>
        <v>0.4210526316</v>
      </c>
    </row>
    <row r="37">
      <c r="C37" s="37" t="s">
        <v>33</v>
      </c>
      <c r="F37" s="38">
        <f>AVERAGE(F33:F36)</f>
        <v>0.5404411765</v>
      </c>
      <c r="G37" s="37" t="s">
        <v>33</v>
      </c>
      <c r="J37" s="38">
        <f>AVERAGE(J33:J36)</f>
        <v>0.5740131579</v>
      </c>
      <c r="K37" s="37" t="s">
        <v>33</v>
      </c>
      <c r="N37" s="38">
        <f>AVERAGE(N33:N36)</f>
        <v>0.7968975469</v>
      </c>
      <c r="O37" s="37" t="s">
        <v>33</v>
      </c>
      <c r="R37" s="38">
        <f>AVERAGE(R33:R36)</f>
        <v>0.306041181</v>
      </c>
      <c r="S37" s="37" t="s">
        <v>33</v>
      </c>
      <c r="V37" s="38">
        <f>AVERAGE(V33:V36)</f>
        <v>0.6846282373</v>
      </c>
    </row>
    <row r="38">
      <c r="A38" s="25" t="s">
        <v>40</v>
      </c>
      <c r="B38" s="29" t="s">
        <v>12</v>
      </c>
      <c r="C38" s="25" t="s">
        <v>13</v>
      </c>
      <c r="D38" s="30">
        <v>6.0</v>
      </c>
      <c r="E38" s="30">
        <v>9.0</v>
      </c>
      <c r="F38" s="31">
        <f t="shared" ref="F38:F41" si="36">DIVIDE(D38,SUM(D38:E38))</f>
        <v>0.4</v>
      </c>
      <c r="G38" s="32" t="s">
        <v>14</v>
      </c>
      <c r="H38" s="33">
        <v>2.0</v>
      </c>
      <c r="I38" s="33">
        <v>1.0</v>
      </c>
      <c r="J38" s="31">
        <f t="shared" ref="J38:J41" si="37">DIVIDE(H38,SUM(H38:I38))</f>
        <v>0.6666666667</v>
      </c>
      <c r="K38" s="32" t="s">
        <v>15</v>
      </c>
      <c r="L38" s="33">
        <v>3.0</v>
      </c>
      <c r="M38" s="33">
        <v>0.0</v>
      </c>
      <c r="N38" s="34">
        <f t="shared" ref="N38:N41" si="38">DIVIDE(L38,SUM(L38:M38))</f>
        <v>1</v>
      </c>
      <c r="O38" s="32" t="s">
        <v>16</v>
      </c>
      <c r="P38" s="33">
        <v>5.0</v>
      </c>
      <c r="Q38" s="33">
        <v>0.0</v>
      </c>
      <c r="R38" s="35">
        <f t="shared" ref="R38:R41" si="39">DIVIDE(P38,SUM(P38:Q38))</f>
        <v>1</v>
      </c>
      <c r="S38" s="32" t="s">
        <v>17</v>
      </c>
      <c r="T38" s="33">
        <v>8.0</v>
      </c>
      <c r="U38" s="33">
        <v>0.0</v>
      </c>
      <c r="V38" s="35">
        <f t="shared" ref="V38:V41" si="40">DIVIDE(T38,SUM(T38:U38))</f>
        <v>1</v>
      </c>
      <c r="X38" s="36">
        <f>AVERAGE(N38:N39)</f>
        <v>0.75</v>
      </c>
      <c r="AB38" s="36">
        <f>AVERAGE(R38:R39)</f>
        <v>0.7333333333</v>
      </c>
    </row>
    <row r="39">
      <c r="C39" s="25" t="s">
        <v>18</v>
      </c>
      <c r="D39" s="30">
        <v>7.0</v>
      </c>
      <c r="E39" s="30">
        <v>7.0</v>
      </c>
      <c r="F39" s="31">
        <f t="shared" si="36"/>
        <v>0.5</v>
      </c>
      <c r="G39" s="32" t="s">
        <v>19</v>
      </c>
      <c r="H39" s="33">
        <v>8.0</v>
      </c>
      <c r="I39" s="33">
        <v>3.0</v>
      </c>
      <c r="J39" s="31">
        <f t="shared" si="37"/>
        <v>0.7272727273</v>
      </c>
      <c r="K39" s="32" t="s">
        <v>20</v>
      </c>
      <c r="L39" s="33">
        <v>8.0</v>
      </c>
      <c r="M39" s="33">
        <v>8.0</v>
      </c>
      <c r="N39" s="34">
        <f t="shared" si="38"/>
        <v>0.5</v>
      </c>
      <c r="O39" s="32" t="s">
        <v>21</v>
      </c>
      <c r="P39" s="33">
        <v>7.0</v>
      </c>
      <c r="Q39" s="33">
        <v>8.0</v>
      </c>
      <c r="R39" s="35">
        <f t="shared" si="39"/>
        <v>0.4666666667</v>
      </c>
      <c r="S39" s="32" t="s">
        <v>22</v>
      </c>
      <c r="T39" s="33">
        <v>8.0</v>
      </c>
      <c r="U39" s="33">
        <v>2.0</v>
      </c>
      <c r="V39" s="35">
        <f t="shared" si="40"/>
        <v>0.8</v>
      </c>
    </row>
    <row r="40">
      <c r="C40" s="25" t="s">
        <v>23</v>
      </c>
      <c r="D40" s="30">
        <v>4.0</v>
      </c>
      <c r="E40" s="30">
        <v>3.0</v>
      </c>
      <c r="F40" s="31">
        <f t="shared" si="36"/>
        <v>0.5714285714</v>
      </c>
      <c r="G40" s="32" t="s">
        <v>24</v>
      </c>
      <c r="H40" s="33">
        <v>5.0</v>
      </c>
      <c r="I40" s="33">
        <v>5.0</v>
      </c>
      <c r="J40" s="31">
        <f t="shared" si="37"/>
        <v>0.5</v>
      </c>
      <c r="K40" s="32" t="s">
        <v>25</v>
      </c>
      <c r="L40" s="33">
        <v>8.0</v>
      </c>
      <c r="M40" s="33">
        <v>9.0</v>
      </c>
      <c r="N40" s="34">
        <f t="shared" si="38"/>
        <v>0.4705882353</v>
      </c>
      <c r="O40" s="32" t="s">
        <v>26</v>
      </c>
      <c r="P40" s="33">
        <v>8.0</v>
      </c>
      <c r="Q40" s="33">
        <v>6.0</v>
      </c>
      <c r="R40" s="35">
        <f t="shared" si="39"/>
        <v>0.5714285714</v>
      </c>
      <c r="S40" s="32" t="s">
        <v>27</v>
      </c>
      <c r="T40" s="33">
        <v>6.0</v>
      </c>
      <c r="U40" s="33">
        <v>3.0</v>
      </c>
      <c r="V40" s="35">
        <f t="shared" si="40"/>
        <v>0.6666666667</v>
      </c>
      <c r="X40" s="36">
        <f>AVERAGE(N40:N41)</f>
        <v>0.6797385621</v>
      </c>
      <c r="AB40" s="36">
        <f>AVERAGE(R40:R41)</f>
        <v>0.7301587302</v>
      </c>
    </row>
    <row r="41">
      <c r="C41" s="25" t="s">
        <v>28</v>
      </c>
      <c r="D41" s="30">
        <v>8.0</v>
      </c>
      <c r="E41" s="30">
        <v>6.0</v>
      </c>
      <c r="F41" s="31">
        <f t="shared" si="36"/>
        <v>0.5714285714</v>
      </c>
      <c r="G41" s="32" t="s">
        <v>29</v>
      </c>
      <c r="H41" s="33">
        <v>5.0</v>
      </c>
      <c r="I41" s="33">
        <v>1.0</v>
      </c>
      <c r="J41" s="31">
        <f t="shared" si="37"/>
        <v>0.8333333333</v>
      </c>
      <c r="K41" s="32" t="s">
        <v>30</v>
      </c>
      <c r="L41" s="33">
        <v>8.0</v>
      </c>
      <c r="M41" s="33">
        <v>1.0</v>
      </c>
      <c r="N41" s="34">
        <f t="shared" si="38"/>
        <v>0.8888888889</v>
      </c>
      <c r="O41" s="32" t="s">
        <v>31</v>
      </c>
      <c r="P41" s="33">
        <v>8.0</v>
      </c>
      <c r="Q41" s="33">
        <v>1.0</v>
      </c>
      <c r="R41" s="35">
        <f t="shared" si="39"/>
        <v>0.8888888889</v>
      </c>
      <c r="S41" s="32" t="s">
        <v>32</v>
      </c>
      <c r="T41" s="33">
        <v>8.0</v>
      </c>
      <c r="U41" s="33">
        <v>6.0</v>
      </c>
      <c r="V41" s="35">
        <f t="shared" si="40"/>
        <v>0.5714285714</v>
      </c>
    </row>
    <row r="42">
      <c r="C42" s="37" t="s">
        <v>33</v>
      </c>
      <c r="F42" s="38">
        <f>AVERAGE(F38:F41)</f>
        <v>0.5107142857</v>
      </c>
      <c r="G42" s="37" t="s">
        <v>33</v>
      </c>
      <c r="J42" s="38">
        <f>AVERAGE(J38:J41)</f>
        <v>0.6818181818</v>
      </c>
      <c r="K42" s="37" t="s">
        <v>33</v>
      </c>
      <c r="N42" s="38">
        <f>AVERAGE(N38:N41)</f>
        <v>0.714869281</v>
      </c>
      <c r="O42" s="37" t="s">
        <v>33</v>
      </c>
      <c r="R42" s="38">
        <f>AVERAGE(R38:R41)</f>
        <v>0.7317460317</v>
      </c>
      <c r="S42" s="37" t="s">
        <v>33</v>
      </c>
      <c r="V42" s="38">
        <f>AVERAGE(V38:V41)</f>
        <v>0.7595238095</v>
      </c>
    </row>
    <row r="43">
      <c r="A43" s="25" t="s">
        <v>41</v>
      </c>
      <c r="B43" s="29" t="s">
        <v>12</v>
      </c>
      <c r="C43" s="25" t="s">
        <v>13</v>
      </c>
      <c r="D43" s="30">
        <v>7.0</v>
      </c>
      <c r="E43" s="30">
        <v>7.0</v>
      </c>
      <c r="F43" s="31">
        <f t="shared" ref="F43:F46" si="41">DIVIDE(D43,SUM(D43:E43))</f>
        <v>0.5</v>
      </c>
      <c r="G43" s="32" t="s">
        <v>14</v>
      </c>
      <c r="H43" s="33">
        <v>4.0</v>
      </c>
      <c r="I43" s="33">
        <v>0.0</v>
      </c>
      <c r="J43" s="31">
        <f t="shared" ref="J43:J46" si="42">DIVIDE(H43,SUM(H43:I43))</f>
        <v>1</v>
      </c>
      <c r="K43" s="32" t="s">
        <v>15</v>
      </c>
      <c r="L43" s="41">
        <v>0.0</v>
      </c>
      <c r="M43" s="33">
        <v>0.0</v>
      </c>
      <c r="N43" s="42">
        <v>0.0</v>
      </c>
      <c r="O43" s="32" t="s">
        <v>16</v>
      </c>
      <c r="P43" s="33">
        <v>7.0</v>
      </c>
      <c r="Q43" s="33">
        <v>4.0</v>
      </c>
      <c r="R43" s="35">
        <f t="shared" ref="R43:R46" si="43">DIVIDE(P43,SUM(P43:Q43))</f>
        <v>0.6363636364</v>
      </c>
      <c r="S43" s="32" t="s">
        <v>17</v>
      </c>
      <c r="T43" s="33">
        <v>8.0</v>
      </c>
      <c r="U43" s="33">
        <v>1.0</v>
      </c>
      <c r="V43" s="35">
        <f t="shared" ref="V43:V46" si="44">DIVIDE(T43,SUM(T43:U43))</f>
        <v>0.8888888889</v>
      </c>
      <c r="X43" s="36">
        <f>AVERAGE(N43:N44)</f>
        <v>0.4444444444</v>
      </c>
      <c r="AB43" s="36">
        <f>AVERAGE(R43:R44)</f>
        <v>0.5181818182</v>
      </c>
    </row>
    <row r="44">
      <c r="C44" s="25" t="s">
        <v>18</v>
      </c>
      <c r="D44" s="30">
        <v>8.0</v>
      </c>
      <c r="E44" s="30">
        <v>5.0</v>
      </c>
      <c r="F44" s="31">
        <f t="shared" si="41"/>
        <v>0.6153846154</v>
      </c>
      <c r="G44" s="32" t="s">
        <v>19</v>
      </c>
      <c r="H44" s="33">
        <v>8.0</v>
      </c>
      <c r="I44" s="33">
        <v>0.0</v>
      </c>
      <c r="J44" s="31">
        <f t="shared" si="42"/>
        <v>1</v>
      </c>
      <c r="K44" s="32" t="s">
        <v>20</v>
      </c>
      <c r="L44" s="33">
        <v>8.0</v>
      </c>
      <c r="M44" s="33">
        <v>1.0</v>
      </c>
      <c r="N44" s="34">
        <f t="shared" ref="N44:N46" si="45">DIVIDE(L44,SUM(L44:M44))</f>
        <v>0.8888888889</v>
      </c>
      <c r="O44" s="32" t="s">
        <v>21</v>
      </c>
      <c r="P44" s="33">
        <v>8.0</v>
      </c>
      <c r="Q44" s="33">
        <v>12.0</v>
      </c>
      <c r="R44" s="35">
        <f t="shared" si="43"/>
        <v>0.4</v>
      </c>
      <c r="S44" s="32" t="s">
        <v>22</v>
      </c>
      <c r="T44" s="33">
        <v>7.0</v>
      </c>
      <c r="U44" s="33">
        <v>9.0</v>
      </c>
      <c r="V44" s="35">
        <f t="shared" si="44"/>
        <v>0.4375</v>
      </c>
    </row>
    <row r="45">
      <c r="C45" s="25" t="s">
        <v>23</v>
      </c>
      <c r="D45" s="30">
        <v>8.0</v>
      </c>
      <c r="E45" s="30">
        <v>2.0</v>
      </c>
      <c r="F45" s="31">
        <f t="shared" si="41"/>
        <v>0.8</v>
      </c>
      <c r="G45" s="32" t="s">
        <v>24</v>
      </c>
      <c r="H45" s="33">
        <v>5.0</v>
      </c>
      <c r="I45" s="33">
        <v>2.0</v>
      </c>
      <c r="J45" s="31">
        <f t="shared" si="42"/>
        <v>0.7142857143</v>
      </c>
      <c r="K45" s="32" t="s">
        <v>25</v>
      </c>
      <c r="L45" s="33">
        <v>8.0</v>
      </c>
      <c r="M45" s="33">
        <v>6.0</v>
      </c>
      <c r="N45" s="34">
        <f t="shared" si="45"/>
        <v>0.5714285714</v>
      </c>
      <c r="O45" s="32" t="s">
        <v>26</v>
      </c>
      <c r="P45" s="33">
        <v>8.0</v>
      </c>
      <c r="Q45" s="33">
        <v>12.0</v>
      </c>
      <c r="R45" s="35">
        <f t="shared" si="43"/>
        <v>0.4</v>
      </c>
      <c r="S45" s="32" t="s">
        <v>27</v>
      </c>
      <c r="T45" s="33">
        <v>7.0</v>
      </c>
      <c r="U45" s="33">
        <v>7.0</v>
      </c>
      <c r="V45" s="35">
        <f t="shared" si="44"/>
        <v>0.5</v>
      </c>
      <c r="X45" s="36">
        <f>AVERAGE(N45:N46)</f>
        <v>0.4523809524</v>
      </c>
      <c r="AB45" s="36">
        <f>AVERAGE(R45:R46)</f>
        <v>0.6</v>
      </c>
    </row>
    <row r="46">
      <c r="C46" s="25" t="s">
        <v>28</v>
      </c>
      <c r="D46" s="30">
        <v>6.0</v>
      </c>
      <c r="E46" s="30">
        <v>3.0</v>
      </c>
      <c r="F46" s="31">
        <f t="shared" si="41"/>
        <v>0.6666666667</v>
      </c>
      <c r="G46" s="32" t="s">
        <v>29</v>
      </c>
      <c r="H46" s="33">
        <v>8.0</v>
      </c>
      <c r="I46" s="33">
        <v>4.0</v>
      </c>
      <c r="J46" s="31">
        <f t="shared" si="42"/>
        <v>0.6666666667</v>
      </c>
      <c r="K46" s="32" t="s">
        <v>30</v>
      </c>
      <c r="L46" s="33">
        <v>7.0</v>
      </c>
      <c r="M46" s="33">
        <v>14.0</v>
      </c>
      <c r="N46" s="34">
        <f t="shared" si="45"/>
        <v>0.3333333333</v>
      </c>
      <c r="O46" s="32" t="s">
        <v>31</v>
      </c>
      <c r="P46" s="33">
        <v>8.0</v>
      </c>
      <c r="Q46" s="33">
        <v>2.0</v>
      </c>
      <c r="R46" s="35">
        <f t="shared" si="43"/>
        <v>0.8</v>
      </c>
      <c r="S46" s="32" t="s">
        <v>32</v>
      </c>
      <c r="T46" s="33">
        <v>8.0</v>
      </c>
      <c r="U46" s="33">
        <v>3.0</v>
      </c>
      <c r="V46" s="35">
        <f t="shared" si="44"/>
        <v>0.7272727273</v>
      </c>
    </row>
    <row r="47">
      <c r="C47" s="37" t="s">
        <v>33</v>
      </c>
      <c r="F47" s="38">
        <f>AVERAGE(F43:F46)</f>
        <v>0.6455128205</v>
      </c>
      <c r="G47" s="37" t="s">
        <v>33</v>
      </c>
      <c r="J47" s="38">
        <f>AVERAGE(J43:J46)</f>
        <v>0.8452380952</v>
      </c>
      <c r="K47" s="37" t="s">
        <v>33</v>
      </c>
      <c r="N47" s="38">
        <f>AVERAGE(N43:N46)</f>
        <v>0.4484126984</v>
      </c>
      <c r="O47" s="37" t="s">
        <v>33</v>
      </c>
      <c r="R47" s="38">
        <f>AVERAGE(R43:R46)</f>
        <v>0.5590909091</v>
      </c>
      <c r="S47" s="37" t="s">
        <v>33</v>
      </c>
      <c r="V47" s="38">
        <f>AVERAGE(V43:V46)</f>
        <v>0.638415404</v>
      </c>
    </row>
    <row r="48">
      <c r="A48" s="25" t="s">
        <v>42</v>
      </c>
      <c r="B48" s="29" t="s">
        <v>12</v>
      </c>
      <c r="C48" s="25" t="s">
        <v>13</v>
      </c>
      <c r="D48" s="30">
        <v>6.0</v>
      </c>
      <c r="E48" s="30">
        <v>5.0</v>
      </c>
      <c r="F48" s="31">
        <f t="shared" ref="F48:F51" si="46">DIVIDE(D48,SUM(D48:E48))</f>
        <v>0.5454545455</v>
      </c>
      <c r="G48" s="32" t="s">
        <v>14</v>
      </c>
      <c r="H48" s="33">
        <v>5.0</v>
      </c>
      <c r="I48" s="33">
        <v>4.0</v>
      </c>
      <c r="J48" s="31">
        <f t="shared" ref="J48:J51" si="47">DIVIDE(H48,SUM(H48:I48))</f>
        <v>0.5555555556</v>
      </c>
      <c r="K48" s="32" t="s">
        <v>15</v>
      </c>
      <c r="L48" s="33">
        <v>3.0</v>
      </c>
      <c r="M48" s="33">
        <v>0.0</v>
      </c>
      <c r="N48" s="34">
        <f t="shared" ref="N48:N51" si="48">DIVIDE(L48,SUM(L48:M48))</f>
        <v>1</v>
      </c>
      <c r="O48" s="32" t="s">
        <v>16</v>
      </c>
      <c r="P48" s="33">
        <v>7.0</v>
      </c>
      <c r="Q48" s="33">
        <v>6.0</v>
      </c>
      <c r="R48" s="35">
        <f t="shared" ref="R48:R51" si="49">DIVIDE(P48,SUM(P48:Q48))</f>
        <v>0.5384615385</v>
      </c>
      <c r="S48" s="32" t="s">
        <v>17</v>
      </c>
      <c r="T48" s="33">
        <v>7.0</v>
      </c>
      <c r="U48" s="33">
        <v>16.0</v>
      </c>
      <c r="V48" s="35">
        <f t="shared" ref="V48:V51" si="50">DIVIDE(T48,SUM(T48:U48))</f>
        <v>0.3043478261</v>
      </c>
      <c r="X48" s="36">
        <f>AVERAGE(N48:N49)</f>
        <v>0.8333333333</v>
      </c>
      <c r="AB48" s="36">
        <f>AVERAGE(R48:R49)</f>
        <v>0.4692307692</v>
      </c>
    </row>
    <row r="49">
      <c r="C49" s="25" t="s">
        <v>18</v>
      </c>
      <c r="D49" s="30">
        <v>6.0</v>
      </c>
      <c r="E49" s="30">
        <v>5.0</v>
      </c>
      <c r="F49" s="31">
        <f t="shared" si="46"/>
        <v>0.5454545455</v>
      </c>
      <c r="G49" s="32" t="s">
        <v>19</v>
      </c>
      <c r="H49" s="33">
        <v>8.0</v>
      </c>
      <c r="I49" s="33">
        <v>2.0</v>
      </c>
      <c r="J49" s="31">
        <f t="shared" si="47"/>
        <v>0.8</v>
      </c>
      <c r="K49" s="32" t="s">
        <v>20</v>
      </c>
      <c r="L49" s="33">
        <v>8.0</v>
      </c>
      <c r="M49" s="33">
        <v>4.0</v>
      </c>
      <c r="N49" s="34">
        <f t="shared" si="48"/>
        <v>0.6666666667</v>
      </c>
      <c r="O49" s="32" t="s">
        <v>21</v>
      </c>
      <c r="P49" s="33">
        <v>8.0</v>
      </c>
      <c r="Q49" s="33">
        <v>12.0</v>
      </c>
      <c r="R49" s="35">
        <f t="shared" si="49"/>
        <v>0.4</v>
      </c>
      <c r="S49" s="32" t="s">
        <v>22</v>
      </c>
      <c r="T49" s="33">
        <v>7.0</v>
      </c>
      <c r="U49" s="33">
        <v>7.0</v>
      </c>
      <c r="V49" s="35">
        <f t="shared" si="50"/>
        <v>0.5</v>
      </c>
    </row>
    <row r="50">
      <c r="C50" s="25" t="s">
        <v>23</v>
      </c>
      <c r="D50" s="30">
        <v>8.0</v>
      </c>
      <c r="E50" s="30">
        <v>4.0</v>
      </c>
      <c r="F50" s="31">
        <f t="shared" si="46"/>
        <v>0.6666666667</v>
      </c>
      <c r="G50" s="32" t="s">
        <v>24</v>
      </c>
      <c r="H50" s="33">
        <v>8.0</v>
      </c>
      <c r="I50" s="33">
        <v>3.0</v>
      </c>
      <c r="J50" s="31">
        <f t="shared" si="47"/>
        <v>0.7272727273</v>
      </c>
      <c r="K50" s="32" t="s">
        <v>25</v>
      </c>
      <c r="L50" s="33">
        <v>8.0</v>
      </c>
      <c r="M50" s="33">
        <v>6.0</v>
      </c>
      <c r="N50" s="34">
        <f t="shared" si="48"/>
        <v>0.5714285714</v>
      </c>
      <c r="O50" s="32" t="s">
        <v>26</v>
      </c>
      <c r="P50" s="33">
        <v>8.0</v>
      </c>
      <c r="Q50" s="33">
        <v>15.0</v>
      </c>
      <c r="R50" s="35">
        <f t="shared" si="49"/>
        <v>0.347826087</v>
      </c>
      <c r="S50" s="32" t="s">
        <v>27</v>
      </c>
      <c r="T50" s="33">
        <v>7.0</v>
      </c>
      <c r="U50" s="33">
        <v>12.0</v>
      </c>
      <c r="V50" s="35">
        <f t="shared" si="50"/>
        <v>0.3684210526</v>
      </c>
      <c r="X50" s="36">
        <f>AVERAGE(N50:N51)</f>
        <v>0.5210084034</v>
      </c>
      <c r="AB50" s="36">
        <f>AVERAGE(R50:R51)</f>
        <v>0.4239130435</v>
      </c>
    </row>
    <row r="51">
      <c r="C51" s="25" t="s">
        <v>28</v>
      </c>
      <c r="D51" s="30">
        <v>8.0</v>
      </c>
      <c r="E51" s="30">
        <v>7.0</v>
      </c>
      <c r="F51" s="31">
        <f t="shared" si="46"/>
        <v>0.5333333333</v>
      </c>
      <c r="G51" s="32" t="s">
        <v>29</v>
      </c>
      <c r="H51" s="33">
        <v>8.0</v>
      </c>
      <c r="I51" s="33">
        <v>6.0</v>
      </c>
      <c r="J51" s="31">
        <f t="shared" si="47"/>
        <v>0.5714285714</v>
      </c>
      <c r="K51" s="32" t="s">
        <v>30</v>
      </c>
      <c r="L51" s="33">
        <v>8.0</v>
      </c>
      <c r="M51" s="33">
        <v>9.0</v>
      </c>
      <c r="N51" s="34">
        <f t="shared" si="48"/>
        <v>0.4705882353</v>
      </c>
      <c r="O51" s="32" t="s">
        <v>31</v>
      </c>
      <c r="P51" s="33">
        <v>8.0</v>
      </c>
      <c r="Q51" s="33">
        <v>8.0</v>
      </c>
      <c r="R51" s="35">
        <f t="shared" si="49"/>
        <v>0.5</v>
      </c>
      <c r="S51" s="32" t="s">
        <v>32</v>
      </c>
      <c r="T51" s="33">
        <v>7.0</v>
      </c>
      <c r="U51" s="33">
        <v>13.0</v>
      </c>
      <c r="V51" s="35">
        <f t="shared" si="50"/>
        <v>0.35</v>
      </c>
    </row>
    <row r="52">
      <c r="C52" s="37" t="s">
        <v>33</v>
      </c>
      <c r="F52" s="38">
        <f>AVERAGE(F48:F51)</f>
        <v>0.5727272727</v>
      </c>
      <c r="G52" s="37" t="s">
        <v>33</v>
      </c>
      <c r="J52" s="38">
        <f>AVERAGE(J48:J51)</f>
        <v>0.6635642136</v>
      </c>
      <c r="K52" s="37" t="s">
        <v>33</v>
      </c>
      <c r="N52" s="38">
        <f>AVERAGE(N48:N51)</f>
        <v>0.6771708683</v>
      </c>
      <c r="O52" s="37" t="s">
        <v>33</v>
      </c>
      <c r="R52" s="38">
        <f>AVERAGE(R48:R51)</f>
        <v>0.4465719064</v>
      </c>
      <c r="S52" s="37" t="s">
        <v>33</v>
      </c>
      <c r="V52" s="38">
        <f>AVERAGE(V48:V51)</f>
        <v>0.3806922197</v>
      </c>
    </row>
    <row r="53">
      <c r="A53" s="24" t="s">
        <v>43</v>
      </c>
      <c r="B53" s="29" t="s">
        <v>12</v>
      </c>
      <c r="C53" s="25" t="s">
        <v>13</v>
      </c>
      <c r="D53" s="30">
        <v>8.0</v>
      </c>
      <c r="E53" s="30">
        <v>16.0</v>
      </c>
      <c r="F53" s="31">
        <f t="shared" ref="F53:F56" si="51">DIVIDE(D53,SUM(D53:E53))</f>
        <v>0.3333333333</v>
      </c>
      <c r="G53" s="32" t="s">
        <v>14</v>
      </c>
      <c r="H53" s="33">
        <v>6.0</v>
      </c>
      <c r="I53" s="33">
        <v>1.0</v>
      </c>
      <c r="J53" s="31">
        <f t="shared" ref="J53:J56" si="52">DIVIDE(H53,SUM(H53:I53))</f>
        <v>0.8571428571</v>
      </c>
      <c r="K53" s="32" t="s">
        <v>15</v>
      </c>
      <c r="L53" s="33">
        <v>0.0</v>
      </c>
      <c r="M53" s="33">
        <v>0.0</v>
      </c>
      <c r="N53" s="42">
        <v>0.0</v>
      </c>
      <c r="O53" s="32" t="s">
        <v>16</v>
      </c>
      <c r="P53" s="33">
        <v>3.0</v>
      </c>
      <c r="Q53" s="33">
        <v>0.0</v>
      </c>
      <c r="R53" s="35">
        <f t="shared" ref="R53:R56" si="53">DIVIDE(P53,SUM(P53:Q53))</f>
        <v>1</v>
      </c>
      <c r="S53" s="32" t="s">
        <v>17</v>
      </c>
      <c r="T53" s="33">
        <v>5.0</v>
      </c>
      <c r="U53" s="33">
        <v>3.0</v>
      </c>
      <c r="V53" s="35">
        <f t="shared" ref="V53:V56" si="54">DIVIDE(T53,SUM(T53:U53))</f>
        <v>0.625</v>
      </c>
      <c r="X53" s="36">
        <f>AVERAGE(N53:N54)</f>
        <v>0.2857142857</v>
      </c>
      <c r="AB53" s="36">
        <f>AVERAGE(R53:R54)</f>
        <v>0.875</v>
      </c>
    </row>
    <row r="54">
      <c r="C54" s="25" t="s">
        <v>18</v>
      </c>
      <c r="D54" s="30">
        <v>8.0</v>
      </c>
      <c r="E54" s="30">
        <v>3.0</v>
      </c>
      <c r="F54" s="31">
        <f t="shared" si="51"/>
        <v>0.7272727273</v>
      </c>
      <c r="G54" s="32" t="s">
        <v>19</v>
      </c>
      <c r="H54" s="41">
        <v>6.0</v>
      </c>
      <c r="I54" s="33">
        <v>14.0</v>
      </c>
      <c r="J54" s="31">
        <f t="shared" si="52"/>
        <v>0.3</v>
      </c>
      <c r="K54" s="32" t="s">
        <v>20</v>
      </c>
      <c r="L54" s="33">
        <v>8.0</v>
      </c>
      <c r="M54" s="33">
        <v>6.0</v>
      </c>
      <c r="N54" s="34">
        <f t="shared" ref="N54:N56" si="55">DIVIDE(L54,SUM(L54:M54))</f>
        <v>0.5714285714</v>
      </c>
      <c r="O54" s="32" t="s">
        <v>21</v>
      </c>
      <c r="P54" s="33">
        <v>6.0</v>
      </c>
      <c r="Q54" s="33">
        <v>2.0</v>
      </c>
      <c r="R54" s="35">
        <f t="shared" si="53"/>
        <v>0.75</v>
      </c>
      <c r="S54" s="32" t="s">
        <v>22</v>
      </c>
      <c r="T54" s="33">
        <v>4.0</v>
      </c>
      <c r="U54" s="33">
        <v>0.0</v>
      </c>
      <c r="V54" s="35">
        <f t="shared" si="54"/>
        <v>1</v>
      </c>
    </row>
    <row r="55">
      <c r="C55" s="25" t="s">
        <v>23</v>
      </c>
      <c r="D55" s="30">
        <v>8.0</v>
      </c>
      <c r="E55" s="30">
        <v>9.0</v>
      </c>
      <c r="F55" s="31">
        <f t="shared" si="51"/>
        <v>0.4705882353</v>
      </c>
      <c r="G55" s="32" t="s">
        <v>24</v>
      </c>
      <c r="H55" s="33">
        <v>3.0</v>
      </c>
      <c r="I55" s="33">
        <v>1.0</v>
      </c>
      <c r="J55" s="31">
        <f t="shared" si="52"/>
        <v>0.75</v>
      </c>
      <c r="K55" s="32" t="s">
        <v>25</v>
      </c>
      <c r="L55" s="33">
        <v>7.0</v>
      </c>
      <c r="M55" s="33">
        <v>22.0</v>
      </c>
      <c r="N55" s="34">
        <f t="shared" si="55"/>
        <v>0.2413793103</v>
      </c>
      <c r="O55" s="32" t="s">
        <v>26</v>
      </c>
      <c r="P55" s="33">
        <v>7.0</v>
      </c>
      <c r="Q55" s="33">
        <v>9.0</v>
      </c>
      <c r="R55" s="35">
        <f t="shared" si="53"/>
        <v>0.4375</v>
      </c>
      <c r="S55" s="32" t="s">
        <v>27</v>
      </c>
      <c r="T55" s="33">
        <v>8.0</v>
      </c>
      <c r="U55" s="33">
        <v>9.0</v>
      </c>
      <c r="V55" s="35">
        <f t="shared" si="54"/>
        <v>0.4705882353</v>
      </c>
      <c r="X55" s="36">
        <f>AVERAGE(N55:N56)</f>
        <v>0.4540229885</v>
      </c>
      <c r="AB55" s="36">
        <f>AVERAGE(R55:R56)</f>
        <v>0.4409722222</v>
      </c>
    </row>
    <row r="56">
      <c r="C56" s="25" t="s">
        <v>28</v>
      </c>
      <c r="D56" s="30">
        <v>7.0</v>
      </c>
      <c r="E56" s="30">
        <v>8.0</v>
      </c>
      <c r="F56" s="31">
        <f t="shared" si="51"/>
        <v>0.4666666667</v>
      </c>
      <c r="G56" s="32" t="s">
        <v>29</v>
      </c>
      <c r="H56" s="33">
        <v>7.0</v>
      </c>
      <c r="I56" s="33">
        <v>7.0</v>
      </c>
      <c r="J56" s="31">
        <f t="shared" si="52"/>
        <v>0.5</v>
      </c>
      <c r="K56" s="32" t="s">
        <v>30</v>
      </c>
      <c r="L56" s="33">
        <v>8.0</v>
      </c>
      <c r="M56" s="33">
        <v>4.0</v>
      </c>
      <c r="N56" s="34">
        <f t="shared" si="55"/>
        <v>0.6666666667</v>
      </c>
      <c r="O56" s="32" t="s">
        <v>31</v>
      </c>
      <c r="P56" s="33">
        <v>8.0</v>
      </c>
      <c r="Q56" s="33">
        <v>10.0</v>
      </c>
      <c r="R56" s="35">
        <f t="shared" si="53"/>
        <v>0.4444444444</v>
      </c>
      <c r="S56" s="32" t="s">
        <v>32</v>
      </c>
      <c r="T56" s="33">
        <v>7.0</v>
      </c>
      <c r="U56" s="33">
        <v>7.0</v>
      </c>
      <c r="V56" s="35">
        <f t="shared" si="54"/>
        <v>0.5</v>
      </c>
    </row>
    <row r="57">
      <c r="C57" s="37" t="s">
        <v>33</v>
      </c>
      <c r="F57" s="38">
        <f>AVERAGE(F53:F56)</f>
        <v>0.4994652406</v>
      </c>
      <c r="G57" s="37" t="s">
        <v>33</v>
      </c>
      <c r="J57" s="38">
        <f>AVERAGE(J53:J56)</f>
        <v>0.6017857143</v>
      </c>
      <c r="K57" s="37" t="s">
        <v>33</v>
      </c>
      <c r="N57" s="38">
        <f>AVERAGE(N53:N56)</f>
        <v>0.3698686371</v>
      </c>
      <c r="O57" s="37" t="s">
        <v>33</v>
      </c>
      <c r="R57" s="38">
        <f>AVERAGE(R53:R56)</f>
        <v>0.6579861111</v>
      </c>
      <c r="S57" s="37" t="s">
        <v>33</v>
      </c>
      <c r="V57" s="38">
        <f>AVERAGE(V53:V56)</f>
        <v>0.6488970588</v>
      </c>
    </row>
    <row r="58">
      <c r="A58" s="24" t="s">
        <v>44</v>
      </c>
      <c r="B58" s="29" t="s">
        <v>12</v>
      </c>
      <c r="C58" s="25" t="s">
        <v>13</v>
      </c>
      <c r="D58" s="30">
        <v>8.0</v>
      </c>
      <c r="E58" s="30">
        <v>6.0</v>
      </c>
      <c r="F58" s="31">
        <f t="shared" ref="F58:F61" si="56">DIVIDE(D58,SUM(D58:E58))</f>
        <v>0.5714285714</v>
      </c>
      <c r="G58" s="32" t="s">
        <v>14</v>
      </c>
      <c r="H58" s="33">
        <v>6.0</v>
      </c>
      <c r="I58" s="33">
        <v>8.0</v>
      </c>
      <c r="J58" s="31">
        <f t="shared" ref="J58:J61" si="57">DIVIDE(H58,SUM(H58:I58))</f>
        <v>0.4285714286</v>
      </c>
      <c r="K58" s="32" t="s">
        <v>15</v>
      </c>
      <c r="L58" s="39"/>
      <c r="M58" s="39"/>
      <c r="N58" s="34" t="str">
        <f t="shared" ref="N58:N61" si="58">DIVIDE(L58,SUM(L58:M58))</f>
        <v>#DIV/0!</v>
      </c>
      <c r="O58" s="32" t="s">
        <v>16</v>
      </c>
      <c r="P58" s="39"/>
      <c r="Q58" s="39"/>
      <c r="R58" s="35" t="str">
        <f t="shared" ref="R58:R61" si="59">DIVIDE(P58,SUM(P58:Q58))</f>
        <v>#DIV/0!</v>
      </c>
      <c r="S58" s="32" t="s">
        <v>17</v>
      </c>
      <c r="T58" s="33">
        <v>7.0</v>
      </c>
      <c r="U58" s="33">
        <v>10.0</v>
      </c>
      <c r="V58" s="35">
        <f t="shared" ref="V58:V61" si="60">DIVIDE(T58,SUM(T58:U58))</f>
        <v>0.4117647059</v>
      </c>
      <c r="X58" s="14" t="str">
        <f>AVERAGE(N58:N59)</f>
        <v>#DIV/0!</v>
      </c>
      <c r="AB58" s="14" t="str">
        <f>AVERAGE(R58:R59)</f>
        <v>#DIV/0!</v>
      </c>
    </row>
    <row r="59">
      <c r="C59" s="25" t="s">
        <v>18</v>
      </c>
      <c r="D59" s="30">
        <v>5.0</v>
      </c>
      <c r="E59" s="30">
        <v>2.0</v>
      </c>
      <c r="F59" s="31">
        <f t="shared" si="56"/>
        <v>0.7142857143</v>
      </c>
      <c r="G59" s="32" t="s">
        <v>19</v>
      </c>
      <c r="H59" s="33">
        <v>7.0</v>
      </c>
      <c r="I59" s="33">
        <v>19.0</v>
      </c>
      <c r="J59" s="31">
        <f t="shared" si="57"/>
        <v>0.2692307692</v>
      </c>
      <c r="K59" s="32" t="s">
        <v>20</v>
      </c>
      <c r="L59" s="39"/>
      <c r="M59" s="39"/>
      <c r="N59" s="34" t="str">
        <f t="shared" si="58"/>
        <v>#DIV/0!</v>
      </c>
      <c r="O59" s="32" t="s">
        <v>21</v>
      </c>
      <c r="P59" s="39"/>
      <c r="Q59" s="39"/>
      <c r="R59" s="35" t="str">
        <f t="shared" si="59"/>
        <v>#DIV/0!</v>
      </c>
      <c r="S59" s="32" t="s">
        <v>22</v>
      </c>
      <c r="T59" s="33">
        <v>8.0</v>
      </c>
      <c r="U59" s="33">
        <v>2.0</v>
      </c>
      <c r="V59" s="35">
        <f t="shared" si="60"/>
        <v>0.8</v>
      </c>
    </row>
    <row r="60">
      <c r="C60" s="25" t="s">
        <v>23</v>
      </c>
      <c r="D60" s="30">
        <v>8.0</v>
      </c>
      <c r="E60" s="30">
        <v>4.0</v>
      </c>
      <c r="F60" s="31">
        <f t="shared" si="56"/>
        <v>0.6666666667</v>
      </c>
      <c r="G60" s="32" t="s">
        <v>24</v>
      </c>
      <c r="H60" s="33">
        <v>4.0</v>
      </c>
      <c r="I60" s="33">
        <v>1.0</v>
      </c>
      <c r="J60" s="31">
        <f t="shared" si="57"/>
        <v>0.8</v>
      </c>
      <c r="K60" s="32" t="s">
        <v>25</v>
      </c>
      <c r="L60" s="33">
        <v>8.0</v>
      </c>
      <c r="M60" s="33">
        <v>4.0</v>
      </c>
      <c r="N60" s="34">
        <f t="shared" si="58"/>
        <v>0.6666666667</v>
      </c>
      <c r="O60" s="32" t="s">
        <v>26</v>
      </c>
      <c r="P60" s="39"/>
      <c r="Q60" s="39"/>
      <c r="R60" s="35" t="str">
        <f t="shared" si="59"/>
        <v>#DIV/0!</v>
      </c>
      <c r="S60" s="32" t="s">
        <v>27</v>
      </c>
      <c r="T60" s="33">
        <v>7.0</v>
      </c>
      <c r="U60" s="33">
        <v>18.0</v>
      </c>
      <c r="V60" s="35">
        <f t="shared" si="60"/>
        <v>0.28</v>
      </c>
      <c r="X60" s="36">
        <f>AVERAGE(N60:N61)</f>
        <v>0.7777777778</v>
      </c>
      <c r="AB60" s="36">
        <f>AVERAGE(R61)</f>
        <v>0.6153846154</v>
      </c>
    </row>
    <row r="61">
      <c r="C61" s="25" t="s">
        <v>28</v>
      </c>
      <c r="D61" s="30">
        <v>8.0</v>
      </c>
      <c r="E61" s="30">
        <v>9.0</v>
      </c>
      <c r="F61" s="31">
        <f t="shared" si="56"/>
        <v>0.4705882353</v>
      </c>
      <c r="G61" s="32" t="s">
        <v>29</v>
      </c>
      <c r="H61" s="33">
        <v>8.0</v>
      </c>
      <c r="I61" s="33">
        <v>5.0</v>
      </c>
      <c r="J61" s="31">
        <f t="shared" si="57"/>
        <v>0.6153846154</v>
      </c>
      <c r="K61" s="32" t="s">
        <v>30</v>
      </c>
      <c r="L61" s="33">
        <v>8.0</v>
      </c>
      <c r="M61" s="33">
        <v>1.0</v>
      </c>
      <c r="N61" s="34">
        <f t="shared" si="58"/>
        <v>0.8888888889</v>
      </c>
      <c r="O61" s="32" t="s">
        <v>31</v>
      </c>
      <c r="P61" s="33">
        <v>8.0</v>
      </c>
      <c r="Q61" s="33">
        <v>5.0</v>
      </c>
      <c r="R61" s="35">
        <f t="shared" si="59"/>
        <v>0.6153846154</v>
      </c>
      <c r="S61" s="32" t="s">
        <v>32</v>
      </c>
      <c r="T61" s="33">
        <v>8.0</v>
      </c>
      <c r="U61" s="33">
        <v>8.0</v>
      </c>
      <c r="V61" s="35">
        <f t="shared" si="60"/>
        <v>0.5</v>
      </c>
    </row>
    <row r="62">
      <c r="C62" s="37" t="s">
        <v>33</v>
      </c>
      <c r="F62" s="38">
        <f>AVERAGE(F58:F61)</f>
        <v>0.6057422969</v>
      </c>
      <c r="G62" s="37" t="s">
        <v>33</v>
      </c>
      <c r="J62" s="38">
        <f>AVERAGE(J58:J61)</f>
        <v>0.5282967033</v>
      </c>
      <c r="K62" s="37" t="s">
        <v>33</v>
      </c>
      <c r="N62" s="38" t="str">
        <f>AVERAGE(N58:N61)</f>
        <v>#DIV/0!</v>
      </c>
      <c r="O62" s="37" t="s">
        <v>33</v>
      </c>
      <c r="R62" s="38" t="str">
        <f>AVERAGE(R58:R61)</f>
        <v>#DIV/0!</v>
      </c>
      <c r="S62" s="37" t="s">
        <v>33</v>
      </c>
      <c r="V62" s="38">
        <f>AVERAGE(V58:V61)</f>
        <v>0.4979411765</v>
      </c>
    </row>
    <row r="63">
      <c r="A63" s="24" t="s">
        <v>45</v>
      </c>
      <c r="B63" s="29" t="s">
        <v>12</v>
      </c>
      <c r="C63" s="25" t="s">
        <v>13</v>
      </c>
      <c r="D63" s="30">
        <v>8.0</v>
      </c>
      <c r="E63" s="30">
        <v>3.0</v>
      </c>
      <c r="F63" s="31">
        <f t="shared" ref="F63:F66" si="61">DIVIDE(D63,SUM(D63:E63))</f>
        <v>0.7272727273</v>
      </c>
      <c r="G63" s="32" t="s">
        <v>14</v>
      </c>
      <c r="H63" s="33">
        <v>8.0</v>
      </c>
      <c r="I63" s="33">
        <v>2.0</v>
      </c>
      <c r="J63" s="31">
        <f t="shared" ref="J63:J66" si="62">DIVIDE(H63,SUM(H63:I63))</f>
        <v>0.8</v>
      </c>
      <c r="K63" s="32" t="s">
        <v>15</v>
      </c>
      <c r="L63" s="39"/>
      <c r="M63" s="39"/>
      <c r="N63" s="35" t="str">
        <f t="shared" ref="N63:N66" si="63">DIVIDE(MINUS(L63,M63),SUM(L63:M63))</f>
        <v>#DIV/0!</v>
      </c>
      <c r="O63" s="32" t="s">
        <v>16</v>
      </c>
      <c r="P63" s="39"/>
      <c r="Q63" s="39"/>
      <c r="R63" s="35" t="str">
        <f t="shared" ref="R63:R66" si="64">DIVIDE(P63,SUM(P63:Q63))</f>
        <v>#DIV/0!</v>
      </c>
      <c r="S63" s="32" t="s">
        <v>17</v>
      </c>
      <c r="T63" s="33">
        <v>7.0</v>
      </c>
      <c r="U63" s="33">
        <v>8.0</v>
      </c>
      <c r="V63" s="35">
        <f t="shared" ref="V63:V66" si="65">DIVIDE(T63,SUM(T63:U63))</f>
        <v>0.4666666667</v>
      </c>
    </row>
    <row r="64">
      <c r="C64" s="25" t="s">
        <v>18</v>
      </c>
      <c r="D64" s="30">
        <v>8.0</v>
      </c>
      <c r="E64" s="30">
        <v>5.0</v>
      </c>
      <c r="F64" s="31">
        <f t="shared" si="61"/>
        <v>0.6153846154</v>
      </c>
      <c r="G64" s="32" t="s">
        <v>19</v>
      </c>
      <c r="H64" s="33">
        <v>8.0</v>
      </c>
      <c r="I64" s="33">
        <v>3.0</v>
      </c>
      <c r="J64" s="31">
        <f t="shared" si="62"/>
        <v>0.7272727273</v>
      </c>
      <c r="K64" s="32" t="s">
        <v>20</v>
      </c>
      <c r="L64" s="39"/>
      <c r="M64" s="39"/>
      <c r="N64" s="35" t="str">
        <f t="shared" si="63"/>
        <v>#DIV/0!</v>
      </c>
      <c r="O64" s="32" t="s">
        <v>21</v>
      </c>
      <c r="P64" s="39"/>
      <c r="Q64" s="39"/>
      <c r="R64" s="35" t="str">
        <f t="shared" si="64"/>
        <v>#DIV/0!</v>
      </c>
      <c r="S64" s="32" t="s">
        <v>22</v>
      </c>
      <c r="T64" s="33">
        <v>8.0</v>
      </c>
      <c r="U64" s="33">
        <v>7.0</v>
      </c>
      <c r="V64" s="35">
        <f t="shared" si="65"/>
        <v>0.5333333333</v>
      </c>
    </row>
    <row r="65">
      <c r="C65" s="25" t="s">
        <v>23</v>
      </c>
      <c r="D65" s="30">
        <v>8.0</v>
      </c>
      <c r="E65" s="30">
        <v>6.0</v>
      </c>
      <c r="F65" s="31">
        <f t="shared" si="61"/>
        <v>0.5714285714</v>
      </c>
      <c r="G65" s="32" t="s">
        <v>24</v>
      </c>
      <c r="H65" s="33">
        <v>5.0</v>
      </c>
      <c r="I65" s="33">
        <v>3.0</v>
      </c>
      <c r="J65" s="31">
        <f t="shared" si="62"/>
        <v>0.625</v>
      </c>
      <c r="K65" s="32" t="s">
        <v>25</v>
      </c>
      <c r="L65" s="39"/>
      <c r="M65" s="39"/>
      <c r="N65" s="35" t="str">
        <f t="shared" si="63"/>
        <v>#DIV/0!</v>
      </c>
      <c r="O65" s="32" t="s">
        <v>26</v>
      </c>
      <c r="P65" s="39"/>
      <c r="Q65" s="39"/>
      <c r="R65" s="35" t="str">
        <f t="shared" si="64"/>
        <v>#DIV/0!</v>
      </c>
      <c r="S65" s="32" t="s">
        <v>27</v>
      </c>
      <c r="T65" s="33">
        <v>7.0</v>
      </c>
      <c r="U65" s="33">
        <v>16.0</v>
      </c>
      <c r="V65" s="35">
        <f t="shared" si="65"/>
        <v>0.3043478261</v>
      </c>
    </row>
    <row r="66">
      <c r="C66" s="25" t="s">
        <v>28</v>
      </c>
      <c r="D66" s="30">
        <v>8.0</v>
      </c>
      <c r="E66" s="30">
        <v>7.0</v>
      </c>
      <c r="F66" s="31">
        <f t="shared" si="61"/>
        <v>0.5333333333</v>
      </c>
      <c r="G66" s="32" t="s">
        <v>29</v>
      </c>
      <c r="H66" s="33">
        <v>8.0</v>
      </c>
      <c r="I66" s="33">
        <v>9.0</v>
      </c>
      <c r="J66" s="31">
        <f t="shared" si="62"/>
        <v>0.4705882353</v>
      </c>
      <c r="K66" s="32" t="s">
        <v>30</v>
      </c>
      <c r="L66" s="39"/>
      <c r="M66" s="39"/>
      <c r="N66" s="35" t="str">
        <f t="shared" si="63"/>
        <v>#DIV/0!</v>
      </c>
      <c r="O66" s="32" t="s">
        <v>31</v>
      </c>
      <c r="P66" s="39"/>
      <c r="Q66" s="39"/>
      <c r="R66" s="35" t="str">
        <f t="shared" si="64"/>
        <v>#DIV/0!</v>
      </c>
      <c r="S66" s="32" t="s">
        <v>32</v>
      </c>
      <c r="T66" s="33">
        <v>8.0</v>
      </c>
      <c r="U66" s="33">
        <v>5.0</v>
      </c>
      <c r="V66" s="35">
        <f t="shared" si="65"/>
        <v>0.6153846154</v>
      </c>
    </row>
    <row r="67">
      <c r="C67" s="37" t="s">
        <v>33</v>
      </c>
      <c r="F67" s="38">
        <f>AVERAGE(F63:F66)</f>
        <v>0.6118548119</v>
      </c>
      <c r="G67" s="37" t="s">
        <v>33</v>
      </c>
      <c r="J67" s="38">
        <f>AVERAGE(J63:J66)</f>
        <v>0.6557152406</v>
      </c>
      <c r="K67" s="37" t="s">
        <v>33</v>
      </c>
      <c r="N67" s="38" t="str">
        <f>AVERAGE(N63:N66)</f>
        <v>#DIV/0!</v>
      </c>
      <c r="O67" s="37" t="s">
        <v>33</v>
      </c>
      <c r="R67" s="38" t="str">
        <f>AVERAGE(R63:R66)</f>
        <v>#DIV/0!</v>
      </c>
      <c r="S67" s="37" t="s">
        <v>33</v>
      </c>
      <c r="V67" s="38">
        <f>AVERAGE(V63:V66)</f>
        <v>0.4799331104</v>
      </c>
    </row>
    <row r="68">
      <c r="A68" s="24" t="s">
        <v>46</v>
      </c>
      <c r="B68" s="29" t="s">
        <v>12</v>
      </c>
      <c r="C68" s="25" t="s">
        <v>13</v>
      </c>
      <c r="D68" s="30">
        <v>8.0</v>
      </c>
      <c r="E68" s="30">
        <v>10.0</v>
      </c>
      <c r="F68" s="31">
        <f t="shared" ref="F68:F71" si="66">DIVIDE(D68,SUM(D68:E68))</f>
        <v>0.4444444444</v>
      </c>
      <c r="G68" s="32" t="s">
        <v>14</v>
      </c>
      <c r="H68" s="33">
        <v>7.0</v>
      </c>
      <c r="I68" s="33">
        <v>3.0</v>
      </c>
      <c r="J68" s="31">
        <f t="shared" ref="J68:J71" si="67">DIVIDE(H68,SUM(H68:I68))</f>
        <v>0.7</v>
      </c>
      <c r="K68" s="32" t="s">
        <v>15</v>
      </c>
      <c r="L68" s="39"/>
      <c r="M68" s="39"/>
      <c r="N68" s="35" t="str">
        <f t="shared" ref="N68:N71" si="68">DIVIDE(MINUS(L68,M68),SUM(L68:M68))</f>
        <v>#DIV/0!</v>
      </c>
      <c r="O68" s="32" t="s">
        <v>16</v>
      </c>
      <c r="P68" s="39"/>
      <c r="Q68" s="39"/>
      <c r="R68" s="35" t="str">
        <f t="shared" ref="R68:R71" si="69">DIVIDE(P68,SUM(P68:Q68))</f>
        <v>#DIV/0!</v>
      </c>
      <c r="S68" s="32" t="s">
        <v>17</v>
      </c>
      <c r="T68" s="33">
        <v>8.0</v>
      </c>
      <c r="U68" s="33">
        <v>4.0</v>
      </c>
      <c r="V68" s="35">
        <f t="shared" ref="V68:V71" si="70">DIVIDE(T68,SUM(T68:U68))</f>
        <v>0.6666666667</v>
      </c>
    </row>
    <row r="69">
      <c r="C69" s="25" t="s">
        <v>18</v>
      </c>
      <c r="D69" s="30">
        <v>8.0</v>
      </c>
      <c r="E69" s="30">
        <v>2.0</v>
      </c>
      <c r="F69" s="31">
        <f t="shared" si="66"/>
        <v>0.8</v>
      </c>
      <c r="G69" s="32" t="s">
        <v>19</v>
      </c>
      <c r="H69" s="33">
        <v>8.0</v>
      </c>
      <c r="I69" s="33">
        <v>7.0</v>
      </c>
      <c r="J69" s="31">
        <f t="shared" si="67"/>
        <v>0.5333333333</v>
      </c>
      <c r="K69" s="32" t="s">
        <v>20</v>
      </c>
      <c r="L69" s="39"/>
      <c r="M69" s="39"/>
      <c r="N69" s="35" t="str">
        <f t="shared" si="68"/>
        <v>#DIV/0!</v>
      </c>
      <c r="O69" s="32" t="s">
        <v>21</v>
      </c>
      <c r="P69" s="39"/>
      <c r="Q69" s="39"/>
      <c r="R69" s="35" t="str">
        <f t="shared" si="69"/>
        <v>#DIV/0!</v>
      </c>
      <c r="S69" s="32" t="s">
        <v>22</v>
      </c>
      <c r="T69" s="33">
        <v>8.0</v>
      </c>
      <c r="U69" s="33">
        <v>4.0</v>
      </c>
      <c r="V69" s="35">
        <f t="shared" si="70"/>
        <v>0.6666666667</v>
      </c>
    </row>
    <row r="70">
      <c r="C70" s="25" t="s">
        <v>23</v>
      </c>
      <c r="D70" s="30">
        <v>8.0</v>
      </c>
      <c r="E70" s="30">
        <v>6.0</v>
      </c>
      <c r="F70" s="31">
        <f t="shared" si="66"/>
        <v>0.5714285714</v>
      </c>
      <c r="G70" s="32" t="s">
        <v>24</v>
      </c>
      <c r="H70" s="33">
        <v>5.0</v>
      </c>
      <c r="I70" s="33">
        <v>3.0</v>
      </c>
      <c r="J70" s="31">
        <f t="shared" si="67"/>
        <v>0.625</v>
      </c>
      <c r="K70" s="32" t="s">
        <v>25</v>
      </c>
      <c r="L70" s="39"/>
      <c r="M70" s="39"/>
      <c r="N70" s="35" t="str">
        <f t="shared" si="68"/>
        <v>#DIV/0!</v>
      </c>
      <c r="O70" s="32" t="s">
        <v>26</v>
      </c>
      <c r="P70" s="39"/>
      <c r="Q70" s="39"/>
      <c r="R70" s="35" t="str">
        <f t="shared" si="69"/>
        <v>#DIV/0!</v>
      </c>
      <c r="S70" s="32" t="s">
        <v>27</v>
      </c>
      <c r="T70" s="33">
        <v>8.0</v>
      </c>
      <c r="U70" s="33">
        <v>10.0</v>
      </c>
      <c r="V70" s="35">
        <f t="shared" si="70"/>
        <v>0.4444444444</v>
      </c>
    </row>
    <row r="71">
      <c r="C71" s="25" t="s">
        <v>28</v>
      </c>
      <c r="D71" s="30">
        <v>8.0</v>
      </c>
      <c r="E71" s="30">
        <v>4.0</v>
      </c>
      <c r="F71" s="31">
        <f t="shared" si="66"/>
        <v>0.6666666667</v>
      </c>
      <c r="G71" s="32" t="s">
        <v>29</v>
      </c>
      <c r="H71" s="33">
        <v>8.0</v>
      </c>
      <c r="I71" s="33">
        <v>7.0</v>
      </c>
      <c r="J71" s="31">
        <f t="shared" si="67"/>
        <v>0.5333333333</v>
      </c>
      <c r="K71" s="32" t="s">
        <v>30</v>
      </c>
      <c r="L71" s="39"/>
      <c r="M71" s="39"/>
      <c r="N71" s="35" t="str">
        <f t="shared" si="68"/>
        <v>#DIV/0!</v>
      </c>
      <c r="O71" s="32" t="s">
        <v>31</v>
      </c>
      <c r="P71" s="39"/>
      <c r="Q71" s="39"/>
      <c r="R71" s="35" t="str">
        <f t="shared" si="69"/>
        <v>#DIV/0!</v>
      </c>
      <c r="S71" s="32" t="s">
        <v>32</v>
      </c>
      <c r="T71" s="33">
        <v>6.0</v>
      </c>
      <c r="U71" s="33">
        <v>7.0</v>
      </c>
      <c r="V71" s="35">
        <f t="shared" si="70"/>
        <v>0.4615384615</v>
      </c>
    </row>
    <row r="72">
      <c r="C72" s="37" t="s">
        <v>33</v>
      </c>
      <c r="F72" s="38">
        <f>AVERAGE(F68:F71)</f>
        <v>0.6206349206</v>
      </c>
      <c r="G72" s="37" t="s">
        <v>33</v>
      </c>
      <c r="J72" s="38">
        <f>AVERAGE(J68:J71)</f>
        <v>0.5979166667</v>
      </c>
      <c r="K72" s="37" t="s">
        <v>33</v>
      </c>
      <c r="N72" s="38" t="str">
        <f>AVERAGE(N68:N71)</f>
        <v>#DIV/0!</v>
      </c>
      <c r="O72" s="37" t="s">
        <v>33</v>
      </c>
      <c r="R72" s="38" t="str">
        <f>AVERAGE(R68:R71)</f>
        <v>#DIV/0!</v>
      </c>
      <c r="S72" s="37" t="s">
        <v>33</v>
      </c>
      <c r="V72" s="38">
        <f>AVERAGE(V68:V71)</f>
        <v>0.5598290598</v>
      </c>
    </row>
    <row r="73">
      <c r="A73" s="5"/>
      <c r="B73" s="8"/>
      <c r="C73" s="20"/>
      <c r="D73" s="43"/>
      <c r="E73" s="43"/>
      <c r="F73" s="21"/>
      <c r="G73" s="20"/>
      <c r="H73" s="43"/>
      <c r="I73" s="43"/>
      <c r="J73" s="21"/>
      <c r="K73" s="20"/>
      <c r="L73" s="43"/>
      <c r="M73" s="43"/>
      <c r="N73" s="21"/>
      <c r="O73" s="20"/>
      <c r="P73" s="43"/>
      <c r="Q73" s="43"/>
      <c r="R73" s="21"/>
      <c r="S73" s="20"/>
      <c r="T73" s="43"/>
      <c r="U73" s="43"/>
      <c r="V73" s="21"/>
    </row>
    <row r="74">
      <c r="A74" s="5"/>
      <c r="B74" s="8"/>
      <c r="C74" s="20"/>
      <c r="D74" s="43"/>
      <c r="E74" s="43"/>
      <c r="F74" s="21"/>
      <c r="G74" s="20"/>
      <c r="H74" s="43"/>
      <c r="I74" s="43"/>
      <c r="J74" s="21"/>
      <c r="K74" s="20"/>
      <c r="L74" s="43"/>
      <c r="M74" s="43"/>
      <c r="N74" s="21"/>
      <c r="O74" s="20"/>
      <c r="P74" s="43"/>
      <c r="Q74" s="43"/>
      <c r="R74" s="21"/>
      <c r="S74" s="20"/>
      <c r="T74" s="43"/>
      <c r="U74" s="43"/>
      <c r="V74" s="21"/>
    </row>
    <row r="75">
      <c r="A75" s="5"/>
      <c r="B75" s="8"/>
      <c r="C75" s="20"/>
      <c r="D75" s="43"/>
      <c r="E75" s="43"/>
      <c r="F75" s="21"/>
      <c r="G75" s="20"/>
      <c r="H75" s="43"/>
      <c r="I75" s="43"/>
      <c r="J75" s="21"/>
      <c r="K75" s="20"/>
      <c r="L75" s="43"/>
      <c r="M75" s="43"/>
      <c r="N75" s="21"/>
      <c r="O75" s="20"/>
      <c r="P75" s="43"/>
      <c r="Q75" s="43"/>
      <c r="R75" s="21"/>
      <c r="S75" s="20"/>
      <c r="T75" s="43"/>
      <c r="U75" s="43"/>
      <c r="V75" s="21"/>
    </row>
    <row r="76">
      <c r="A76" s="5"/>
      <c r="B76" s="8"/>
      <c r="C76" s="20"/>
      <c r="D76" s="43"/>
      <c r="E76" s="43"/>
      <c r="F76" s="21"/>
      <c r="G76" s="20"/>
      <c r="H76" s="43"/>
      <c r="I76" s="43"/>
      <c r="J76" s="21"/>
      <c r="K76" s="20"/>
      <c r="L76" s="43"/>
      <c r="M76" s="43"/>
      <c r="N76" s="21"/>
      <c r="O76" s="20"/>
      <c r="P76" s="43"/>
      <c r="Q76" s="43"/>
      <c r="R76" s="21"/>
      <c r="S76" s="20"/>
      <c r="T76" s="43"/>
      <c r="U76" s="43"/>
      <c r="V76" s="21"/>
    </row>
    <row r="77">
      <c r="A77" s="5"/>
      <c r="B77" s="8"/>
      <c r="C77" s="20"/>
      <c r="D77" s="43"/>
      <c r="E77" s="43"/>
      <c r="F77" s="21"/>
      <c r="G77" s="20"/>
      <c r="H77" s="43"/>
      <c r="I77" s="43"/>
      <c r="J77" s="21"/>
      <c r="K77" s="20"/>
      <c r="L77" s="43"/>
      <c r="M77" s="43"/>
      <c r="N77" s="21"/>
      <c r="O77" s="20"/>
      <c r="P77" s="43"/>
      <c r="Q77" s="43"/>
      <c r="R77" s="21"/>
      <c r="S77" s="20"/>
      <c r="T77" s="43"/>
      <c r="U77" s="43"/>
      <c r="V77" s="21"/>
    </row>
    <row r="78">
      <c r="A78" s="5"/>
      <c r="B78" s="8"/>
      <c r="C78" s="20"/>
      <c r="D78" s="43"/>
      <c r="E78" s="43"/>
      <c r="F78" s="21"/>
      <c r="G78" s="20"/>
      <c r="H78" s="43"/>
      <c r="I78" s="43"/>
      <c r="J78" s="21"/>
      <c r="K78" s="20"/>
      <c r="L78" s="43"/>
      <c r="M78" s="43"/>
      <c r="N78" s="21"/>
      <c r="O78" s="20"/>
      <c r="P78" s="43"/>
      <c r="Q78" s="43"/>
      <c r="R78" s="21"/>
      <c r="S78" s="20"/>
      <c r="T78" s="43"/>
      <c r="U78" s="43"/>
      <c r="V78" s="21"/>
    </row>
    <row r="79">
      <c r="A79" s="5"/>
      <c r="B79" s="8"/>
      <c r="C79" s="20"/>
      <c r="D79" s="43"/>
      <c r="E79" s="43"/>
      <c r="F79" s="21"/>
      <c r="G79" s="20"/>
      <c r="H79" s="43"/>
      <c r="I79" s="43"/>
      <c r="J79" s="21"/>
      <c r="K79" s="20"/>
      <c r="L79" s="43"/>
      <c r="M79" s="43"/>
      <c r="N79" s="21"/>
      <c r="O79" s="20"/>
      <c r="P79" s="43"/>
      <c r="Q79" s="43"/>
      <c r="R79" s="21"/>
      <c r="S79" s="20"/>
      <c r="T79" s="43"/>
      <c r="U79" s="43"/>
      <c r="V79" s="21"/>
    </row>
    <row r="80">
      <c r="A80" s="5"/>
      <c r="B80" s="8"/>
      <c r="C80" s="20"/>
      <c r="D80" s="43"/>
      <c r="E80" s="43"/>
      <c r="F80" s="21"/>
      <c r="G80" s="20"/>
      <c r="H80" s="43"/>
      <c r="I80" s="43"/>
      <c r="J80" s="21"/>
      <c r="K80" s="20"/>
      <c r="L80" s="43"/>
      <c r="M80" s="43"/>
      <c r="N80" s="21"/>
      <c r="O80" s="20"/>
      <c r="P80" s="43"/>
      <c r="Q80" s="43"/>
      <c r="R80" s="21"/>
      <c r="S80" s="20"/>
      <c r="T80" s="43"/>
      <c r="U80" s="43"/>
      <c r="V80" s="21"/>
    </row>
    <row r="81">
      <c r="A81" s="5"/>
      <c r="B81" s="8"/>
      <c r="C81" s="20"/>
      <c r="D81" s="43"/>
      <c r="E81" s="43"/>
      <c r="F81" s="21"/>
      <c r="G81" s="20"/>
      <c r="H81" s="43"/>
      <c r="I81" s="43"/>
      <c r="J81" s="21"/>
      <c r="K81" s="20"/>
      <c r="L81" s="43"/>
      <c r="M81" s="43"/>
      <c r="N81" s="21"/>
      <c r="O81" s="20"/>
      <c r="P81" s="43"/>
      <c r="Q81" s="43"/>
      <c r="R81" s="21"/>
      <c r="S81" s="20"/>
      <c r="T81" s="43"/>
      <c r="U81" s="43"/>
      <c r="V81" s="21"/>
    </row>
    <row r="82">
      <c r="A82" s="5"/>
      <c r="B82" s="8"/>
      <c r="C82" s="20"/>
      <c r="D82" s="43"/>
      <c r="E82" s="43"/>
      <c r="F82" s="21"/>
      <c r="G82" s="20"/>
      <c r="H82" s="43"/>
      <c r="I82" s="43"/>
      <c r="J82" s="21"/>
      <c r="K82" s="20"/>
      <c r="L82" s="43"/>
      <c r="M82" s="43"/>
      <c r="N82" s="21"/>
      <c r="O82" s="20"/>
      <c r="P82" s="43"/>
      <c r="Q82" s="43"/>
      <c r="R82" s="21"/>
      <c r="S82" s="20"/>
      <c r="T82" s="43"/>
      <c r="U82" s="43"/>
      <c r="V82" s="21"/>
    </row>
  </sheetData>
  <mergeCells count="105">
    <mergeCell ref="A28:A32"/>
    <mergeCell ref="B28:B32"/>
    <mergeCell ref="C32:E32"/>
    <mergeCell ref="G32:I32"/>
    <mergeCell ref="K32:M32"/>
    <mergeCell ref="O32:Q32"/>
    <mergeCell ref="S32:U32"/>
    <mergeCell ref="A33:A37"/>
    <mergeCell ref="B33:B37"/>
    <mergeCell ref="C37:E37"/>
    <mergeCell ref="G37:I37"/>
    <mergeCell ref="K37:M37"/>
    <mergeCell ref="O37:Q37"/>
    <mergeCell ref="S37:U37"/>
    <mergeCell ref="A38:A42"/>
    <mergeCell ref="B38:B42"/>
    <mergeCell ref="C42:E42"/>
    <mergeCell ref="G42:I42"/>
    <mergeCell ref="K42:M42"/>
    <mergeCell ref="O42:Q42"/>
    <mergeCell ref="S42:U42"/>
    <mergeCell ref="A43:A47"/>
    <mergeCell ref="B43:B47"/>
    <mergeCell ref="C47:E47"/>
    <mergeCell ref="G47:I47"/>
    <mergeCell ref="K47:M47"/>
    <mergeCell ref="O47:Q47"/>
    <mergeCell ref="S47:U47"/>
    <mergeCell ref="A48:A52"/>
    <mergeCell ref="B48:B52"/>
    <mergeCell ref="C52:E52"/>
    <mergeCell ref="G52:I52"/>
    <mergeCell ref="K52:M52"/>
    <mergeCell ref="O52:Q52"/>
    <mergeCell ref="S52:U52"/>
    <mergeCell ref="A53:A57"/>
    <mergeCell ref="B53:B57"/>
    <mergeCell ref="C57:E57"/>
    <mergeCell ref="G57:I57"/>
    <mergeCell ref="K57:M57"/>
    <mergeCell ref="O57:Q57"/>
    <mergeCell ref="S57:U57"/>
    <mergeCell ref="A58:A62"/>
    <mergeCell ref="B58:B62"/>
    <mergeCell ref="C62:E62"/>
    <mergeCell ref="G62:I62"/>
    <mergeCell ref="K62:M62"/>
    <mergeCell ref="O62:Q62"/>
    <mergeCell ref="S62:U62"/>
    <mergeCell ref="A63:A67"/>
    <mergeCell ref="B63:B67"/>
    <mergeCell ref="C67:E67"/>
    <mergeCell ref="G67:I67"/>
    <mergeCell ref="K67:M67"/>
    <mergeCell ref="O67:Q67"/>
    <mergeCell ref="S67:U67"/>
    <mergeCell ref="A1:A2"/>
    <mergeCell ref="B1:B2"/>
    <mergeCell ref="C1:F1"/>
    <mergeCell ref="G1:J1"/>
    <mergeCell ref="K1:N1"/>
    <mergeCell ref="O1:R1"/>
    <mergeCell ref="S1:V1"/>
    <mergeCell ref="A3:A7"/>
    <mergeCell ref="B3:B7"/>
    <mergeCell ref="C7:E7"/>
    <mergeCell ref="G7:I7"/>
    <mergeCell ref="K7:M7"/>
    <mergeCell ref="O7:Q7"/>
    <mergeCell ref="S7:U7"/>
    <mergeCell ref="A8:A12"/>
    <mergeCell ref="B8:B12"/>
    <mergeCell ref="C12:E12"/>
    <mergeCell ref="G12:I12"/>
    <mergeCell ref="K12:M12"/>
    <mergeCell ref="O12:Q12"/>
    <mergeCell ref="S12:U12"/>
    <mergeCell ref="A13:A17"/>
    <mergeCell ref="B13:B17"/>
    <mergeCell ref="C17:E17"/>
    <mergeCell ref="G17:I17"/>
    <mergeCell ref="K17:M17"/>
    <mergeCell ref="O17:Q17"/>
    <mergeCell ref="S17:U17"/>
    <mergeCell ref="A18:A22"/>
    <mergeCell ref="B18:B22"/>
    <mergeCell ref="C22:E22"/>
    <mergeCell ref="G22:I22"/>
    <mergeCell ref="K22:M22"/>
    <mergeCell ref="O22:Q22"/>
    <mergeCell ref="S22:U22"/>
    <mergeCell ref="A23:A27"/>
    <mergeCell ref="B23:B27"/>
    <mergeCell ref="C27:E27"/>
    <mergeCell ref="G27:I27"/>
    <mergeCell ref="K27:M27"/>
    <mergeCell ref="O27:Q27"/>
    <mergeCell ref="S27:U27"/>
    <mergeCell ref="A68:A72"/>
    <mergeCell ref="B68:B72"/>
    <mergeCell ref="C72:E72"/>
    <mergeCell ref="G72:I72"/>
    <mergeCell ref="K72:M72"/>
    <mergeCell ref="O72:Q72"/>
    <mergeCell ref="S72:U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31.75"/>
    <col customWidth="1" min="3" max="5" width="10.63"/>
    <col customWidth="1" min="6" max="22" width="9.5"/>
  </cols>
  <sheetData>
    <row r="1" ht="43.5" customHeight="1">
      <c r="A1" s="22" t="s">
        <v>0</v>
      </c>
      <c r="B1" s="22" t="s">
        <v>1</v>
      </c>
      <c r="C1" s="22" t="s">
        <v>2</v>
      </c>
      <c r="G1" s="22" t="s">
        <v>3</v>
      </c>
      <c r="K1" s="22" t="s">
        <v>4</v>
      </c>
      <c r="O1" s="23" t="s">
        <v>5</v>
      </c>
      <c r="S1" s="24" t="s">
        <v>6</v>
      </c>
      <c r="X1" s="44"/>
      <c r="Y1" s="44"/>
      <c r="Z1" s="44"/>
      <c r="AA1" s="44"/>
      <c r="AB1" s="44"/>
    </row>
    <row r="2" ht="29.25" customHeight="1">
      <c r="C2" s="25" t="s">
        <v>7</v>
      </c>
      <c r="D2" s="26" t="s">
        <v>8</v>
      </c>
      <c r="E2" s="26" t="s">
        <v>9</v>
      </c>
      <c r="F2" s="25" t="s">
        <v>10</v>
      </c>
      <c r="G2" s="27" t="s">
        <v>7</v>
      </c>
      <c r="H2" s="28" t="s">
        <v>8</v>
      </c>
      <c r="I2" s="28" t="s">
        <v>9</v>
      </c>
      <c r="J2" s="27" t="s">
        <v>10</v>
      </c>
      <c r="K2" s="27" t="s">
        <v>7</v>
      </c>
      <c r="L2" s="28" t="s">
        <v>8</v>
      </c>
      <c r="M2" s="28" t="s">
        <v>9</v>
      </c>
      <c r="N2" s="27" t="s">
        <v>10</v>
      </c>
      <c r="O2" s="27" t="s">
        <v>7</v>
      </c>
      <c r="P2" s="28" t="s">
        <v>8</v>
      </c>
      <c r="Q2" s="28" t="s">
        <v>9</v>
      </c>
      <c r="R2" s="27" t="s">
        <v>10</v>
      </c>
      <c r="S2" s="27" t="s">
        <v>7</v>
      </c>
      <c r="T2" s="28" t="s">
        <v>8</v>
      </c>
      <c r="U2" s="28" t="s">
        <v>9</v>
      </c>
      <c r="V2" s="27" t="s">
        <v>10</v>
      </c>
      <c r="W2" s="7"/>
      <c r="X2" s="45"/>
      <c r="Y2" s="45"/>
      <c r="Z2" s="45"/>
      <c r="AA2" s="45"/>
      <c r="AB2" s="45"/>
      <c r="AC2" s="7"/>
      <c r="AD2" s="7"/>
      <c r="AE2" s="7"/>
      <c r="AF2" s="7"/>
      <c r="AG2" s="7"/>
      <c r="AH2" s="7"/>
      <c r="AI2" s="7"/>
    </row>
    <row r="3">
      <c r="A3" s="25" t="s">
        <v>11</v>
      </c>
      <c r="B3" s="29" t="s">
        <v>47</v>
      </c>
      <c r="C3" s="25" t="s">
        <v>13</v>
      </c>
      <c r="D3" s="30">
        <v>8.0</v>
      </c>
      <c r="E3" s="30">
        <v>10.0</v>
      </c>
      <c r="F3" s="31">
        <f t="shared" ref="F3:F6" si="1">DIVIDE(D3,SUM(D3:E3))</f>
        <v>0.4444444444</v>
      </c>
      <c r="G3" s="32" t="s">
        <v>14</v>
      </c>
      <c r="H3" s="33">
        <v>0.0</v>
      </c>
      <c r="I3" s="33">
        <v>0.0</v>
      </c>
      <c r="J3" s="31">
        <v>0.0</v>
      </c>
      <c r="K3" s="32" t="s">
        <v>15</v>
      </c>
      <c r="L3" s="33">
        <v>8.0</v>
      </c>
      <c r="M3" s="33">
        <v>5.0</v>
      </c>
      <c r="N3" s="34">
        <f t="shared" ref="N3:N6" si="2">DIVIDE(L3,SUM(L3:M3))</f>
        <v>0.6153846154</v>
      </c>
      <c r="O3" s="32" t="s">
        <v>16</v>
      </c>
      <c r="P3" s="33">
        <v>7.0</v>
      </c>
      <c r="Q3" s="33">
        <v>8.0</v>
      </c>
      <c r="R3" s="35">
        <f t="shared" ref="R3:R6" si="3">DIVIDE(P3,SUM(P3:Q3))</f>
        <v>0.4666666667</v>
      </c>
      <c r="S3" s="32" t="s">
        <v>17</v>
      </c>
      <c r="T3" s="33">
        <v>7.0</v>
      </c>
      <c r="U3" s="33">
        <v>10.0</v>
      </c>
      <c r="V3" s="35">
        <f t="shared" ref="V3:V6" si="4">DIVIDE(T3,SUM(T3:U3))</f>
        <v>0.4117647059</v>
      </c>
      <c r="X3" s="44">
        <f>AVERAGE(M3:M4)</f>
        <v>5</v>
      </c>
      <c r="Y3" s="44"/>
      <c r="Z3" s="44"/>
      <c r="AA3" s="44"/>
      <c r="AB3" s="44">
        <f>AVERAGE(Q3:Q4)</f>
        <v>6</v>
      </c>
    </row>
    <row r="4">
      <c r="C4" s="25" t="s">
        <v>18</v>
      </c>
      <c r="D4" s="30">
        <v>8.0</v>
      </c>
      <c r="E4" s="30">
        <v>2.0</v>
      </c>
      <c r="F4" s="31">
        <f t="shared" si="1"/>
        <v>0.8</v>
      </c>
      <c r="G4" s="32" t="s">
        <v>19</v>
      </c>
      <c r="H4" s="33">
        <v>8.0</v>
      </c>
      <c r="I4" s="33">
        <v>3.0</v>
      </c>
      <c r="J4" s="31">
        <f t="shared" ref="J4:J6" si="5">DIVIDE(H4,SUM(H4:I4))</f>
        <v>0.7272727273</v>
      </c>
      <c r="K4" s="32" t="s">
        <v>20</v>
      </c>
      <c r="L4" s="33">
        <v>7.0</v>
      </c>
      <c r="M4" s="33">
        <v>5.0</v>
      </c>
      <c r="N4" s="34">
        <f t="shared" si="2"/>
        <v>0.5833333333</v>
      </c>
      <c r="O4" s="32" t="s">
        <v>21</v>
      </c>
      <c r="P4" s="33">
        <v>8.0</v>
      </c>
      <c r="Q4" s="33">
        <v>4.0</v>
      </c>
      <c r="R4" s="35">
        <f t="shared" si="3"/>
        <v>0.6666666667</v>
      </c>
      <c r="S4" s="32" t="s">
        <v>22</v>
      </c>
      <c r="T4" s="33">
        <v>8.0</v>
      </c>
      <c r="U4" s="33">
        <v>2.0</v>
      </c>
      <c r="V4" s="35">
        <f t="shared" si="4"/>
        <v>0.8</v>
      </c>
      <c r="X4" s="44"/>
      <c r="Y4" s="44"/>
      <c r="Z4" s="44"/>
      <c r="AA4" s="44"/>
      <c r="AB4" s="44"/>
    </row>
    <row r="5">
      <c r="C5" s="25" t="s">
        <v>23</v>
      </c>
      <c r="D5" s="30">
        <v>5.0</v>
      </c>
      <c r="E5" s="30">
        <v>2.0</v>
      </c>
      <c r="F5" s="31">
        <f t="shared" si="1"/>
        <v>0.7142857143</v>
      </c>
      <c r="G5" s="32" t="s">
        <v>24</v>
      </c>
      <c r="H5" s="33">
        <v>8.0</v>
      </c>
      <c r="I5" s="33">
        <v>5.0</v>
      </c>
      <c r="J5" s="31">
        <f t="shared" si="5"/>
        <v>0.6153846154</v>
      </c>
      <c r="K5" s="32" t="s">
        <v>25</v>
      </c>
      <c r="L5" s="33">
        <v>8.0</v>
      </c>
      <c r="M5" s="33">
        <v>5.0</v>
      </c>
      <c r="N5" s="34">
        <f t="shared" si="2"/>
        <v>0.6153846154</v>
      </c>
      <c r="O5" s="32" t="s">
        <v>26</v>
      </c>
      <c r="P5" s="33">
        <v>8.0</v>
      </c>
      <c r="Q5" s="33">
        <v>5.0</v>
      </c>
      <c r="R5" s="35">
        <f t="shared" si="3"/>
        <v>0.6153846154</v>
      </c>
      <c r="S5" s="32" t="s">
        <v>27</v>
      </c>
      <c r="T5" s="33">
        <v>8.0</v>
      </c>
      <c r="U5" s="33">
        <v>5.0</v>
      </c>
      <c r="V5" s="35">
        <f t="shared" si="4"/>
        <v>0.6153846154</v>
      </c>
      <c r="X5" s="44">
        <f>AVERAGE(M5:M6)</f>
        <v>4.5</v>
      </c>
      <c r="Y5" s="44"/>
      <c r="Z5" s="44"/>
      <c r="AA5" s="44"/>
      <c r="AB5" s="44">
        <f>AVERAGE(Q5:Q6)</f>
        <v>5</v>
      </c>
    </row>
    <row r="6">
      <c r="C6" s="25" t="s">
        <v>28</v>
      </c>
      <c r="D6" s="30">
        <v>8.0</v>
      </c>
      <c r="E6" s="30">
        <v>3.0</v>
      </c>
      <c r="F6" s="31">
        <f t="shared" si="1"/>
        <v>0.7272727273</v>
      </c>
      <c r="G6" s="32" t="s">
        <v>29</v>
      </c>
      <c r="H6" s="33">
        <v>5.0</v>
      </c>
      <c r="I6" s="33">
        <v>3.0</v>
      </c>
      <c r="J6" s="31">
        <f t="shared" si="5"/>
        <v>0.625</v>
      </c>
      <c r="K6" s="32" t="s">
        <v>30</v>
      </c>
      <c r="L6" s="33">
        <v>6.0</v>
      </c>
      <c r="M6" s="33">
        <v>4.0</v>
      </c>
      <c r="N6" s="34">
        <f t="shared" si="2"/>
        <v>0.6</v>
      </c>
      <c r="O6" s="32" t="s">
        <v>31</v>
      </c>
      <c r="P6" s="33">
        <v>7.0</v>
      </c>
      <c r="Q6" s="33">
        <v>5.0</v>
      </c>
      <c r="R6" s="35">
        <f t="shared" si="3"/>
        <v>0.5833333333</v>
      </c>
      <c r="S6" s="32" t="s">
        <v>32</v>
      </c>
      <c r="T6" s="33">
        <v>8.0</v>
      </c>
      <c r="U6" s="33">
        <v>3.0</v>
      </c>
      <c r="V6" s="35">
        <f t="shared" si="4"/>
        <v>0.7272727273</v>
      </c>
      <c r="X6" s="44"/>
      <c r="Y6" s="44"/>
      <c r="Z6" s="44"/>
      <c r="AA6" s="44"/>
      <c r="AB6" s="44"/>
    </row>
    <row r="7">
      <c r="C7" s="37" t="s">
        <v>33</v>
      </c>
      <c r="F7" s="38">
        <f>AVERAGE(E3:E6)</f>
        <v>4.25</v>
      </c>
      <c r="G7" s="37" t="s">
        <v>33</v>
      </c>
      <c r="J7" s="38">
        <f>AVERAGE(I3:I6)</f>
        <v>2.75</v>
      </c>
      <c r="K7" s="37" t="s">
        <v>33</v>
      </c>
      <c r="N7" s="38">
        <f>AVERAGE(N3:N6)</f>
        <v>0.603525641</v>
      </c>
      <c r="O7" s="37" t="s">
        <v>33</v>
      </c>
      <c r="R7" s="38">
        <f>AVERAGE(R3:R6)</f>
        <v>0.5830128205</v>
      </c>
      <c r="S7" s="37" t="s">
        <v>33</v>
      </c>
      <c r="V7" s="38">
        <f>AVERAGE(U3:U6)</f>
        <v>5</v>
      </c>
      <c r="X7" s="44"/>
      <c r="Y7" s="44"/>
      <c r="Z7" s="44"/>
      <c r="AA7" s="44"/>
      <c r="AB7" s="44"/>
    </row>
    <row r="8">
      <c r="A8" s="25" t="s">
        <v>34</v>
      </c>
      <c r="B8" s="29" t="s">
        <v>12</v>
      </c>
      <c r="C8" s="25" t="s">
        <v>13</v>
      </c>
      <c r="D8" s="30">
        <v>6.0</v>
      </c>
      <c r="E8" s="30">
        <v>7.0</v>
      </c>
      <c r="F8" s="31">
        <f t="shared" ref="F8:F11" si="6">DIVIDE(D8,SUM(D8:E8))</f>
        <v>0.4615384615</v>
      </c>
      <c r="G8" s="32" t="s">
        <v>14</v>
      </c>
      <c r="H8" s="33">
        <v>8.0</v>
      </c>
      <c r="I8" s="33">
        <v>5.0</v>
      </c>
      <c r="J8" s="31">
        <f t="shared" ref="J8:J11" si="7">DIVIDE(H8,SUM(H8:I8))</f>
        <v>0.6153846154</v>
      </c>
      <c r="K8" s="32" t="s">
        <v>15</v>
      </c>
      <c r="L8" s="33">
        <v>6.0</v>
      </c>
      <c r="M8" s="33">
        <v>5.0</v>
      </c>
      <c r="N8" s="34">
        <f t="shared" ref="N8:N11" si="8">DIVIDE(L8,SUM(L8:M8))</f>
        <v>0.5454545455</v>
      </c>
      <c r="O8" s="32" t="s">
        <v>16</v>
      </c>
      <c r="P8" s="33">
        <v>6.0</v>
      </c>
      <c r="Q8" s="33">
        <v>6.0</v>
      </c>
      <c r="R8" s="35">
        <f t="shared" ref="R8:R11" si="9">DIVIDE(P8,SUM(P8:Q8))</f>
        <v>0.5</v>
      </c>
      <c r="S8" s="32" t="s">
        <v>17</v>
      </c>
      <c r="T8" s="33">
        <v>6.0</v>
      </c>
      <c r="U8" s="33">
        <v>10.0</v>
      </c>
      <c r="V8" s="35">
        <f t="shared" ref="V8:V11" si="10">DIVIDE(T8,SUM(T8:U8))</f>
        <v>0.375</v>
      </c>
      <c r="X8" s="44">
        <f>AVERAGE(M8:M9)</f>
        <v>2.5</v>
      </c>
      <c r="Y8" s="44"/>
      <c r="Z8" s="44"/>
      <c r="AA8" s="44"/>
      <c r="AB8" s="44">
        <f>AVERAGE(Q8:Q9)</f>
        <v>5.5</v>
      </c>
    </row>
    <row r="9">
      <c r="C9" s="25" t="s">
        <v>18</v>
      </c>
      <c r="D9" s="30">
        <v>8.0</v>
      </c>
      <c r="E9" s="30">
        <v>7.0</v>
      </c>
      <c r="F9" s="31">
        <f t="shared" si="6"/>
        <v>0.5333333333</v>
      </c>
      <c r="G9" s="32" t="s">
        <v>19</v>
      </c>
      <c r="H9" s="33">
        <v>8.0</v>
      </c>
      <c r="I9" s="33">
        <v>8.0</v>
      </c>
      <c r="J9" s="31">
        <f t="shared" si="7"/>
        <v>0.5</v>
      </c>
      <c r="K9" s="32" t="s">
        <v>20</v>
      </c>
      <c r="L9" s="33">
        <v>8.0</v>
      </c>
      <c r="M9" s="33">
        <v>0.0</v>
      </c>
      <c r="N9" s="34">
        <f t="shared" si="8"/>
        <v>1</v>
      </c>
      <c r="O9" s="32" t="s">
        <v>21</v>
      </c>
      <c r="P9" s="33">
        <v>6.0</v>
      </c>
      <c r="Q9" s="33">
        <v>5.0</v>
      </c>
      <c r="R9" s="35">
        <f t="shared" si="9"/>
        <v>0.5454545455</v>
      </c>
      <c r="S9" s="32" t="s">
        <v>22</v>
      </c>
      <c r="T9" s="33">
        <v>6.0</v>
      </c>
      <c r="U9" s="33">
        <v>12.0</v>
      </c>
      <c r="V9" s="35">
        <f t="shared" si="10"/>
        <v>0.3333333333</v>
      </c>
      <c r="X9" s="44"/>
      <c r="Y9" s="44"/>
      <c r="Z9" s="44"/>
      <c r="AA9" s="44"/>
      <c r="AB9" s="44"/>
    </row>
    <row r="10">
      <c r="C10" s="25" t="s">
        <v>23</v>
      </c>
      <c r="D10" s="30">
        <v>6.0</v>
      </c>
      <c r="E10" s="30">
        <v>12.0</v>
      </c>
      <c r="F10" s="31">
        <f t="shared" si="6"/>
        <v>0.3333333333</v>
      </c>
      <c r="G10" s="32" t="s">
        <v>24</v>
      </c>
      <c r="H10" s="33">
        <v>5.0</v>
      </c>
      <c r="I10" s="33">
        <v>5.0</v>
      </c>
      <c r="J10" s="31">
        <f t="shared" si="7"/>
        <v>0.5</v>
      </c>
      <c r="K10" s="32" t="s">
        <v>25</v>
      </c>
      <c r="L10" s="33">
        <v>7.0</v>
      </c>
      <c r="M10" s="33">
        <v>1.0</v>
      </c>
      <c r="N10" s="34">
        <f t="shared" si="8"/>
        <v>0.875</v>
      </c>
      <c r="O10" s="32" t="s">
        <v>26</v>
      </c>
      <c r="P10" s="33">
        <v>8.0</v>
      </c>
      <c r="Q10" s="33">
        <v>1.0</v>
      </c>
      <c r="R10" s="35">
        <f t="shared" si="9"/>
        <v>0.8888888889</v>
      </c>
      <c r="S10" s="32" t="s">
        <v>27</v>
      </c>
      <c r="T10" s="33">
        <v>8.0</v>
      </c>
      <c r="U10" s="33">
        <v>8.0</v>
      </c>
      <c r="V10" s="35">
        <f t="shared" si="10"/>
        <v>0.5</v>
      </c>
      <c r="X10" s="44">
        <f>AVERAGE(M10:M11)</f>
        <v>5</v>
      </c>
      <c r="Y10" s="44"/>
      <c r="Z10" s="44"/>
      <c r="AA10" s="44"/>
      <c r="AB10" s="44">
        <f>AVERAGE(Q10:Q11)</f>
        <v>6</v>
      </c>
    </row>
    <row r="11">
      <c r="C11" s="25" t="s">
        <v>28</v>
      </c>
      <c r="D11" s="30">
        <v>8.0</v>
      </c>
      <c r="E11" s="30">
        <v>9.0</v>
      </c>
      <c r="F11" s="31">
        <f t="shared" si="6"/>
        <v>0.4705882353</v>
      </c>
      <c r="G11" s="32" t="s">
        <v>29</v>
      </c>
      <c r="H11" s="33">
        <v>1.0</v>
      </c>
      <c r="I11" s="33">
        <v>0.0</v>
      </c>
      <c r="J11" s="31">
        <f t="shared" si="7"/>
        <v>1</v>
      </c>
      <c r="K11" s="32" t="s">
        <v>30</v>
      </c>
      <c r="L11" s="33">
        <v>7.0</v>
      </c>
      <c r="M11" s="33">
        <v>9.0</v>
      </c>
      <c r="N11" s="34">
        <f t="shared" si="8"/>
        <v>0.4375</v>
      </c>
      <c r="O11" s="32" t="s">
        <v>31</v>
      </c>
      <c r="P11" s="33">
        <v>6.0</v>
      </c>
      <c r="Q11" s="33">
        <v>11.0</v>
      </c>
      <c r="R11" s="35">
        <f t="shared" si="9"/>
        <v>0.3529411765</v>
      </c>
      <c r="S11" s="32" t="s">
        <v>32</v>
      </c>
      <c r="T11" s="33">
        <v>7.0</v>
      </c>
      <c r="U11" s="33">
        <v>5.0</v>
      </c>
      <c r="V11" s="35">
        <f t="shared" si="10"/>
        <v>0.5833333333</v>
      </c>
      <c r="X11" s="44"/>
      <c r="Y11" s="44"/>
      <c r="Z11" s="44"/>
      <c r="AA11" s="44"/>
      <c r="AB11" s="44"/>
    </row>
    <row r="12">
      <c r="C12" s="37" t="s">
        <v>33</v>
      </c>
      <c r="F12" s="38">
        <f>AVERAGE(E8:E11)</f>
        <v>8.75</v>
      </c>
      <c r="G12" s="37" t="s">
        <v>33</v>
      </c>
      <c r="J12" s="38">
        <f>AVERAGE(I8:I11)</f>
        <v>4.5</v>
      </c>
      <c r="K12" s="37" t="s">
        <v>33</v>
      </c>
      <c r="N12" s="38">
        <f>AVERAGE(N8:N11)</f>
        <v>0.7144886364</v>
      </c>
      <c r="O12" s="37" t="s">
        <v>33</v>
      </c>
      <c r="R12" s="38">
        <f>AVERAGE(R8:R11)</f>
        <v>0.5718211527</v>
      </c>
      <c r="S12" s="37" t="s">
        <v>33</v>
      </c>
      <c r="V12" s="38">
        <f>AVERAGE(U8:U11)</f>
        <v>8.75</v>
      </c>
      <c r="X12" s="44"/>
      <c r="Y12" s="44"/>
      <c r="Z12" s="44"/>
      <c r="AA12" s="44"/>
      <c r="AB12" s="44"/>
    </row>
    <row r="13">
      <c r="A13" s="25" t="s">
        <v>35</v>
      </c>
      <c r="B13" s="29" t="s">
        <v>12</v>
      </c>
      <c r="C13" s="25" t="s">
        <v>13</v>
      </c>
      <c r="D13" s="30">
        <v>7.0</v>
      </c>
      <c r="E13" s="30">
        <v>11.0</v>
      </c>
      <c r="F13" s="31">
        <f t="shared" ref="F13:F16" si="11">DIVIDE(D13,SUM(D13:E13))</f>
        <v>0.3888888889</v>
      </c>
      <c r="G13" s="32" t="s">
        <v>14</v>
      </c>
      <c r="H13" s="33">
        <v>8.0</v>
      </c>
      <c r="I13" s="33">
        <v>3.0</v>
      </c>
      <c r="J13" s="31">
        <f t="shared" ref="J13:J16" si="12">DIVIDE(H13,SUM(H13:I13))</f>
        <v>0.7272727273</v>
      </c>
      <c r="K13" s="32" t="s">
        <v>15</v>
      </c>
      <c r="L13" s="33">
        <v>7.0</v>
      </c>
      <c r="M13" s="33">
        <v>8.0</v>
      </c>
      <c r="N13" s="34">
        <f t="shared" ref="N13:N16" si="13">DIVIDE(L13,SUM(L13:M13))</f>
        <v>0.4666666667</v>
      </c>
      <c r="O13" s="32" t="s">
        <v>16</v>
      </c>
      <c r="P13" s="33">
        <v>8.0</v>
      </c>
      <c r="Q13" s="33">
        <v>7.0</v>
      </c>
      <c r="R13" s="35">
        <f t="shared" ref="R13:R16" si="14">DIVIDE(P13,SUM(P13:Q13))</f>
        <v>0.5333333333</v>
      </c>
      <c r="S13" s="32" t="s">
        <v>17</v>
      </c>
      <c r="T13" s="33">
        <v>7.0</v>
      </c>
      <c r="U13" s="33">
        <v>11.0</v>
      </c>
      <c r="V13" s="35">
        <f t="shared" ref="V13:V16" si="15">DIVIDE(T13,SUM(T13:U13))</f>
        <v>0.3888888889</v>
      </c>
      <c r="X13" s="44">
        <f>AVERAGE(M13:M14)</f>
        <v>6.5</v>
      </c>
      <c r="Y13" s="44"/>
      <c r="Z13" s="44"/>
      <c r="AA13" s="44"/>
      <c r="AB13" s="44">
        <f>AVERAGE(Q13:Q14)</f>
        <v>7</v>
      </c>
    </row>
    <row r="14">
      <c r="C14" s="25" t="s">
        <v>18</v>
      </c>
      <c r="D14" s="30">
        <v>8.0</v>
      </c>
      <c r="E14" s="30">
        <v>6.0</v>
      </c>
      <c r="F14" s="31">
        <f t="shared" si="11"/>
        <v>0.5714285714</v>
      </c>
      <c r="G14" s="32" t="s">
        <v>19</v>
      </c>
      <c r="H14" s="33">
        <v>8.0</v>
      </c>
      <c r="I14" s="33">
        <v>2.0</v>
      </c>
      <c r="J14" s="31">
        <f t="shared" si="12"/>
        <v>0.8</v>
      </c>
      <c r="K14" s="32" t="s">
        <v>20</v>
      </c>
      <c r="L14" s="33">
        <v>7.0</v>
      </c>
      <c r="M14" s="33">
        <v>5.0</v>
      </c>
      <c r="N14" s="34">
        <f t="shared" si="13"/>
        <v>0.5833333333</v>
      </c>
      <c r="O14" s="32" t="s">
        <v>21</v>
      </c>
      <c r="P14" s="33">
        <v>6.0</v>
      </c>
      <c r="Q14" s="39"/>
      <c r="R14" s="35">
        <f t="shared" si="14"/>
        <v>1</v>
      </c>
      <c r="S14" s="32" t="s">
        <v>22</v>
      </c>
      <c r="T14" s="33">
        <v>8.0</v>
      </c>
      <c r="U14" s="33">
        <v>9.0</v>
      </c>
      <c r="V14" s="35">
        <f t="shared" si="15"/>
        <v>0.4705882353</v>
      </c>
      <c r="X14" s="44"/>
      <c r="Y14" s="44"/>
      <c r="Z14" s="44"/>
      <c r="AA14" s="44"/>
      <c r="AB14" s="44"/>
    </row>
    <row r="15">
      <c r="C15" s="25" t="s">
        <v>23</v>
      </c>
      <c r="D15" s="30">
        <v>8.0</v>
      </c>
      <c r="E15" s="30">
        <v>5.0</v>
      </c>
      <c r="F15" s="31">
        <f t="shared" si="11"/>
        <v>0.6153846154</v>
      </c>
      <c r="G15" s="32" t="s">
        <v>24</v>
      </c>
      <c r="H15" s="33">
        <v>6.0</v>
      </c>
      <c r="I15" s="33">
        <v>3.0</v>
      </c>
      <c r="J15" s="31">
        <f t="shared" si="12"/>
        <v>0.6666666667</v>
      </c>
      <c r="K15" s="32" t="s">
        <v>25</v>
      </c>
      <c r="L15" s="33">
        <v>8.0</v>
      </c>
      <c r="M15" s="33">
        <v>3.0</v>
      </c>
      <c r="N15" s="34">
        <f t="shared" si="13"/>
        <v>0.7272727273</v>
      </c>
      <c r="O15" s="32" t="s">
        <v>26</v>
      </c>
      <c r="P15" s="33">
        <v>8.0</v>
      </c>
      <c r="Q15" s="39"/>
      <c r="R15" s="35">
        <f t="shared" si="14"/>
        <v>1</v>
      </c>
      <c r="S15" s="32" t="s">
        <v>27</v>
      </c>
      <c r="T15" s="33">
        <v>8.0</v>
      </c>
      <c r="U15" s="33">
        <v>8.0</v>
      </c>
      <c r="V15" s="35">
        <f t="shared" si="15"/>
        <v>0.5</v>
      </c>
      <c r="X15" s="44">
        <f>AVERAGE(M15:M16)</f>
        <v>2.5</v>
      </c>
      <c r="Y15" s="44"/>
      <c r="Z15" s="44"/>
      <c r="AA15" s="44"/>
      <c r="AB15" s="44">
        <f>AVERAGE(Q15:Q16)</f>
        <v>12</v>
      </c>
    </row>
    <row r="16">
      <c r="C16" s="25" t="s">
        <v>28</v>
      </c>
      <c r="D16" s="30">
        <v>8.0</v>
      </c>
      <c r="E16" s="30">
        <v>1.0</v>
      </c>
      <c r="F16" s="31">
        <f t="shared" si="11"/>
        <v>0.8888888889</v>
      </c>
      <c r="G16" s="32" t="s">
        <v>29</v>
      </c>
      <c r="H16" s="33">
        <v>1.0</v>
      </c>
      <c r="I16" s="33">
        <v>0.0</v>
      </c>
      <c r="J16" s="31">
        <f t="shared" si="12"/>
        <v>1</v>
      </c>
      <c r="K16" s="32" t="s">
        <v>30</v>
      </c>
      <c r="L16" s="33">
        <v>7.0</v>
      </c>
      <c r="M16" s="33">
        <v>2.0</v>
      </c>
      <c r="N16" s="34">
        <f t="shared" si="13"/>
        <v>0.7777777778</v>
      </c>
      <c r="O16" s="32" t="s">
        <v>31</v>
      </c>
      <c r="P16" s="33">
        <v>7.0</v>
      </c>
      <c r="Q16" s="33">
        <v>12.0</v>
      </c>
      <c r="R16" s="35">
        <f t="shared" si="14"/>
        <v>0.3684210526</v>
      </c>
      <c r="S16" s="32" t="s">
        <v>32</v>
      </c>
      <c r="T16" s="33">
        <v>7.0</v>
      </c>
      <c r="U16" s="33">
        <v>4.0</v>
      </c>
      <c r="V16" s="35">
        <f t="shared" si="15"/>
        <v>0.6363636364</v>
      </c>
      <c r="X16" s="44"/>
      <c r="Y16" s="44"/>
      <c r="Z16" s="44"/>
      <c r="AA16" s="44"/>
      <c r="AB16" s="44"/>
    </row>
    <row r="17">
      <c r="C17" s="37" t="s">
        <v>33</v>
      </c>
      <c r="F17" s="38">
        <f>AVERAGE(E13:E16)</f>
        <v>5.75</v>
      </c>
      <c r="G17" s="37" t="s">
        <v>33</v>
      </c>
      <c r="J17" s="38">
        <f>AVERAGE(I13:I16)</f>
        <v>2</v>
      </c>
      <c r="K17" s="37" t="s">
        <v>33</v>
      </c>
      <c r="N17" s="38">
        <f>AVERAGE(N13:N16)</f>
        <v>0.6387626263</v>
      </c>
      <c r="O17" s="37" t="s">
        <v>33</v>
      </c>
      <c r="R17" s="38">
        <f>AVERAGE(R13:R16)</f>
        <v>0.7254385965</v>
      </c>
      <c r="S17" s="37" t="s">
        <v>33</v>
      </c>
      <c r="V17" s="38">
        <f>AVERAGE(U13:U16)</f>
        <v>8</v>
      </c>
      <c r="X17" s="44"/>
      <c r="Y17" s="44"/>
      <c r="Z17" s="44"/>
      <c r="AA17" s="44"/>
      <c r="AB17" s="44"/>
    </row>
    <row r="18">
      <c r="A18" s="25" t="s">
        <v>36</v>
      </c>
      <c r="B18" s="29" t="s">
        <v>12</v>
      </c>
      <c r="C18" s="25" t="s">
        <v>13</v>
      </c>
      <c r="D18" s="30">
        <v>6.0</v>
      </c>
      <c r="E18" s="30">
        <v>2.0</v>
      </c>
      <c r="F18" s="31">
        <f t="shared" ref="F18:F21" si="16">DIVIDE(D18,SUM(D18:E18))</f>
        <v>0.75</v>
      </c>
      <c r="G18" s="32" t="s">
        <v>14</v>
      </c>
      <c r="H18" s="33">
        <v>7.0</v>
      </c>
      <c r="I18" s="33">
        <v>6.0</v>
      </c>
      <c r="J18" s="31">
        <f t="shared" ref="J18:J20" si="17">DIVIDE(H18,SUM(H18:I18))</f>
        <v>0.5384615385</v>
      </c>
      <c r="K18" s="32" t="s">
        <v>15</v>
      </c>
      <c r="L18" s="33">
        <v>7.0</v>
      </c>
      <c r="M18" s="33">
        <v>3.0</v>
      </c>
      <c r="N18" s="34">
        <f t="shared" ref="N18:N21" si="18">DIVIDE(L18,SUM(L18:M18))</f>
        <v>0.7</v>
      </c>
      <c r="O18" s="32" t="s">
        <v>16</v>
      </c>
      <c r="P18" s="33">
        <v>3.0</v>
      </c>
      <c r="Q18" s="33">
        <v>0.0</v>
      </c>
      <c r="R18" s="35">
        <f t="shared" ref="R18:R21" si="19">DIVIDE(P18,SUM(P18:Q18))</f>
        <v>1</v>
      </c>
      <c r="S18" s="32" t="s">
        <v>17</v>
      </c>
      <c r="T18" s="33">
        <v>5.0</v>
      </c>
      <c r="U18" s="33">
        <v>0.0</v>
      </c>
      <c r="V18" s="35">
        <f t="shared" ref="V18:V21" si="20">DIVIDE(T18,SUM(T18:U18))</f>
        <v>1</v>
      </c>
      <c r="X18" s="44">
        <f>AVERAGE(M18:M19)</f>
        <v>6</v>
      </c>
      <c r="Y18" s="44"/>
      <c r="Z18" s="44"/>
      <c r="AA18" s="44"/>
      <c r="AB18" s="44">
        <f>AVERAGE(Q18:Q19)</f>
        <v>0.5</v>
      </c>
    </row>
    <row r="19">
      <c r="C19" s="25" t="s">
        <v>18</v>
      </c>
      <c r="D19" s="30">
        <v>8.0</v>
      </c>
      <c r="E19" s="30">
        <v>12.0</v>
      </c>
      <c r="F19" s="31">
        <f t="shared" si="16"/>
        <v>0.4</v>
      </c>
      <c r="G19" s="32" t="s">
        <v>19</v>
      </c>
      <c r="H19" s="33">
        <v>7.0</v>
      </c>
      <c r="I19" s="33">
        <v>7.0</v>
      </c>
      <c r="J19" s="31">
        <f t="shared" si="17"/>
        <v>0.5</v>
      </c>
      <c r="K19" s="32" t="s">
        <v>20</v>
      </c>
      <c r="L19" s="33">
        <v>7.0</v>
      </c>
      <c r="M19" s="33">
        <v>9.0</v>
      </c>
      <c r="N19" s="34">
        <f t="shared" si="18"/>
        <v>0.4375</v>
      </c>
      <c r="O19" s="32" t="s">
        <v>21</v>
      </c>
      <c r="P19" s="33">
        <v>1.0</v>
      </c>
      <c r="Q19" s="33">
        <v>1.0</v>
      </c>
      <c r="R19" s="35">
        <f t="shared" si="19"/>
        <v>0.5</v>
      </c>
      <c r="S19" s="32" t="s">
        <v>22</v>
      </c>
      <c r="T19" s="33">
        <v>6.0</v>
      </c>
      <c r="U19" s="33">
        <v>2.0</v>
      </c>
      <c r="V19" s="35">
        <f t="shared" si="20"/>
        <v>0.75</v>
      </c>
      <c r="X19" s="44"/>
      <c r="Y19" s="44"/>
      <c r="Z19" s="44"/>
      <c r="AA19" s="44"/>
      <c r="AB19" s="44"/>
    </row>
    <row r="20">
      <c r="C20" s="25" t="s">
        <v>23</v>
      </c>
      <c r="D20" s="30">
        <v>6.0</v>
      </c>
      <c r="E20" s="30">
        <v>6.0</v>
      </c>
      <c r="F20" s="31">
        <f t="shared" si="16"/>
        <v>0.5</v>
      </c>
      <c r="G20" s="32" t="s">
        <v>24</v>
      </c>
      <c r="H20" s="33">
        <v>6.0</v>
      </c>
      <c r="I20" s="33">
        <v>0.0</v>
      </c>
      <c r="J20" s="31">
        <f t="shared" si="17"/>
        <v>1</v>
      </c>
      <c r="K20" s="32" t="s">
        <v>25</v>
      </c>
      <c r="L20" s="33">
        <v>4.0</v>
      </c>
      <c r="M20" s="33">
        <v>0.0</v>
      </c>
      <c r="N20" s="34">
        <f t="shared" si="18"/>
        <v>1</v>
      </c>
      <c r="O20" s="32" t="s">
        <v>26</v>
      </c>
      <c r="P20" s="33">
        <v>8.0</v>
      </c>
      <c r="Q20" s="33">
        <v>1.0</v>
      </c>
      <c r="R20" s="35">
        <f t="shared" si="19"/>
        <v>0.8888888889</v>
      </c>
      <c r="S20" s="32" t="s">
        <v>27</v>
      </c>
      <c r="T20" s="33">
        <v>7.0</v>
      </c>
      <c r="U20" s="33">
        <v>3.0</v>
      </c>
      <c r="V20" s="35">
        <f t="shared" si="20"/>
        <v>0.7</v>
      </c>
      <c r="X20" s="44">
        <f>AVERAGE(M20:M21)</f>
        <v>3</v>
      </c>
      <c r="Y20" s="44"/>
      <c r="Z20" s="44"/>
      <c r="AA20" s="44"/>
      <c r="AB20" s="44">
        <f>AVERAGE(Q20:Q21)</f>
        <v>3.5</v>
      </c>
    </row>
    <row r="21">
      <c r="C21" s="25" t="s">
        <v>28</v>
      </c>
      <c r="D21" s="30">
        <v>8.0</v>
      </c>
      <c r="E21" s="30">
        <v>2.0</v>
      </c>
      <c r="F21" s="31">
        <f t="shared" si="16"/>
        <v>0.8</v>
      </c>
      <c r="G21" s="32" t="s">
        <v>29</v>
      </c>
      <c r="H21" s="33">
        <v>0.0</v>
      </c>
      <c r="I21" s="33">
        <v>0.0</v>
      </c>
      <c r="J21" s="31">
        <v>0.0</v>
      </c>
      <c r="K21" s="32" t="s">
        <v>30</v>
      </c>
      <c r="L21" s="33">
        <v>6.0</v>
      </c>
      <c r="M21" s="33">
        <v>6.0</v>
      </c>
      <c r="N21" s="34">
        <f t="shared" si="18"/>
        <v>0.5</v>
      </c>
      <c r="O21" s="32" t="s">
        <v>31</v>
      </c>
      <c r="P21" s="33">
        <v>7.0</v>
      </c>
      <c r="Q21" s="33">
        <v>6.0</v>
      </c>
      <c r="R21" s="35">
        <f t="shared" si="19"/>
        <v>0.5384615385</v>
      </c>
      <c r="S21" s="32" t="s">
        <v>32</v>
      </c>
      <c r="T21" s="33">
        <v>7.0</v>
      </c>
      <c r="U21" s="33">
        <v>10.0</v>
      </c>
      <c r="V21" s="35">
        <f t="shared" si="20"/>
        <v>0.4117647059</v>
      </c>
      <c r="X21" s="44"/>
      <c r="Y21" s="44"/>
      <c r="Z21" s="44"/>
      <c r="AA21" s="44"/>
      <c r="AB21" s="44"/>
    </row>
    <row r="22">
      <c r="C22" s="37" t="s">
        <v>33</v>
      </c>
      <c r="F22" s="38">
        <f>AVERAGE(E18:E21)</f>
        <v>5.5</v>
      </c>
      <c r="G22" s="37" t="s">
        <v>33</v>
      </c>
      <c r="J22" s="38">
        <f>AVERAGE(I18:I21)</f>
        <v>3.25</v>
      </c>
      <c r="K22" s="37" t="s">
        <v>33</v>
      </c>
      <c r="N22" s="38">
        <f>AVERAGE(N18:N21)</f>
        <v>0.659375</v>
      </c>
      <c r="O22" s="37" t="s">
        <v>33</v>
      </c>
      <c r="R22" s="38">
        <f>AVERAGE(R18:R21)</f>
        <v>0.7318376068</v>
      </c>
      <c r="S22" s="37" t="s">
        <v>33</v>
      </c>
      <c r="V22" s="38">
        <f>AVERAGE(U18:U21)</f>
        <v>3.75</v>
      </c>
      <c r="X22" s="44"/>
      <c r="Y22" s="44"/>
      <c r="Z22" s="44"/>
      <c r="AA22" s="44"/>
      <c r="AB22" s="44"/>
    </row>
    <row r="23">
      <c r="A23" s="25" t="s">
        <v>37</v>
      </c>
      <c r="B23" s="29" t="s">
        <v>12</v>
      </c>
      <c r="C23" s="25" t="s">
        <v>13</v>
      </c>
      <c r="D23" s="30">
        <v>8.0</v>
      </c>
      <c r="E23" s="30">
        <v>2.0</v>
      </c>
      <c r="F23" s="31">
        <f t="shared" ref="F23:F26" si="21">DIVIDE(D23,SUM(D23:E23))</f>
        <v>0.8</v>
      </c>
      <c r="G23" s="32" t="s">
        <v>14</v>
      </c>
      <c r="H23" s="33">
        <v>6.0</v>
      </c>
      <c r="I23" s="33">
        <v>3.0</v>
      </c>
      <c r="J23" s="31">
        <f t="shared" ref="J23:J26" si="22">DIVIDE(H23,SUM(H23:I23))</f>
        <v>0.6666666667</v>
      </c>
      <c r="K23" s="32" t="s">
        <v>15</v>
      </c>
      <c r="L23" s="33">
        <v>6.0</v>
      </c>
      <c r="M23" s="33">
        <v>4.0</v>
      </c>
      <c r="N23" s="34">
        <f t="shared" ref="N23:N26" si="23">DIVIDE(L23,SUM(L23:M23))</f>
        <v>0.6</v>
      </c>
      <c r="O23" s="32" t="s">
        <v>16</v>
      </c>
      <c r="P23" s="33">
        <v>5.0</v>
      </c>
      <c r="Q23" s="33">
        <v>0.0</v>
      </c>
      <c r="R23" s="35">
        <f t="shared" ref="R23:R26" si="24">DIVIDE(P23,SUM(P23:Q23))</f>
        <v>1</v>
      </c>
      <c r="S23" s="32" t="s">
        <v>17</v>
      </c>
      <c r="T23" s="33">
        <v>6.0</v>
      </c>
      <c r="U23" s="33">
        <v>5.0</v>
      </c>
      <c r="V23" s="35">
        <f t="shared" ref="V23:V26" si="25">DIVIDE(T23,SUM(T23:U23))</f>
        <v>0.5454545455</v>
      </c>
      <c r="X23" s="44">
        <f>AVERAGE(M23:M24)</f>
        <v>7.5</v>
      </c>
      <c r="Y23" s="44"/>
      <c r="Z23" s="44"/>
      <c r="AA23" s="44"/>
      <c r="AB23" s="44">
        <f>AVERAGE(Q23:Q24)</f>
        <v>0.5</v>
      </c>
    </row>
    <row r="24">
      <c r="C24" s="25" t="s">
        <v>18</v>
      </c>
      <c r="D24" s="30">
        <v>8.0</v>
      </c>
      <c r="E24" s="30">
        <v>5.0</v>
      </c>
      <c r="F24" s="31">
        <f t="shared" si="21"/>
        <v>0.6153846154</v>
      </c>
      <c r="G24" s="32" t="s">
        <v>19</v>
      </c>
      <c r="H24" s="33">
        <v>8.0</v>
      </c>
      <c r="I24" s="33">
        <v>2.0</v>
      </c>
      <c r="J24" s="31">
        <f t="shared" si="22"/>
        <v>0.8</v>
      </c>
      <c r="K24" s="32" t="s">
        <v>20</v>
      </c>
      <c r="L24" s="33">
        <v>7.0</v>
      </c>
      <c r="M24" s="33">
        <v>11.0</v>
      </c>
      <c r="N24" s="34">
        <f t="shared" si="23"/>
        <v>0.3888888889</v>
      </c>
      <c r="O24" s="32" t="s">
        <v>21</v>
      </c>
      <c r="P24" s="33">
        <v>7.0</v>
      </c>
      <c r="Q24" s="33">
        <v>1.0</v>
      </c>
      <c r="R24" s="35">
        <f t="shared" si="24"/>
        <v>0.875</v>
      </c>
      <c r="S24" s="32" t="s">
        <v>22</v>
      </c>
      <c r="T24" s="33">
        <v>1.0</v>
      </c>
      <c r="U24" s="33">
        <v>0.0</v>
      </c>
      <c r="V24" s="35">
        <f t="shared" si="25"/>
        <v>1</v>
      </c>
      <c r="X24" s="44"/>
      <c r="Y24" s="44"/>
      <c r="Z24" s="44"/>
      <c r="AA24" s="44"/>
      <c r="AB24" s="44"/>
    </row>
    <row r="25">
      <c r="C25" s="25" t="s">
        <v>23</v>
      </c>
      <c r="D25" s="30">
        <v>6.0</v>
      </c>
      <c r="E25" s="30">
        <v>6.0</v>
      </c>
      <c r="F25" s="31">
        <f t="shared" si="21"/>
        <v>0.5</v>
      </c>
      <c r="G25" s="32" t="s">
        <v>24</v>
      </c>
      <c r="H25" s="33">
        <v>4.0</v>
      </c>
      <c r="I25" s="33">
        <v>0.0</v>
      </c>
      <c r="J25" s="31">
        <f t="shared" si="22"/>
        <v>1</v>
      </c>
      <c r="K25" s="32" t="s">
        <v>25</v>
      </c>
      <c r="L25" s="33">
        <v>1.0</v>
      </c>
      <c r="M25" s="33">
        <v>0.0</v>
      </c>
      <c r="N25" s="34">
        <f t="shared" si="23"/>
        <v>1</v>
      </c>
      <c r="O25" s="32" t="s">
        <v>26</v>
      </c>
      <c r="P25" s="33">
        <v>7.0</v>
      </c>
      <c r="Q25" s="33">
        <v>8.0</v>
      </c>
      <c r="R25" s="35">
        <f t="shared" si="24"/>
        <v>0.4666666667</v>
      </c>
      <c r="S25" s="32" t="s">
        <v>27</v>
      </c>
      <c r="T25" s="33">
        <v>5.0</v>
      </c>
      <c r="U25" s="33">
        <v>1.0</v>
      </c>
      <c r="V25" s="35">
        <f t="shared" si="25"/>
        <v>0.8333333333</v>
      </c>
      <c r="X25" s="44">
        <f>AVERAGE(M25:M26)</f>
        <v>6</v>
      </c>
      <c r="Y25" s="44"/>
      <c r="Z25" s="44"/>
      <c r="AA25" s="44"/>
      <c r="AB25" s="44">
        <f>AVERAGE(Q25:Q26)</f>
        <v>9.5</v>
      </c>
    </row>
    <row r="26">
      <c r="C26" s="25" t="s">
        <v>28</v>
      </c>
      <c r="D26" s="30">
        <v>7.0</v>
      </c>
      <c r="E26" s="30">
        <v>4.0</v>
      </c>
      <c r="F26" s="31">
        <f t="shared" si="21"/>
        <v>0.6363636364</v>
      </c>
      <c r="G26" s="32" t="s">
        <v>29</v>
      </c>
      <c r="H26" s="33">
        <v>2.0</v>
      </c>
      <c r="I26" s="33">
        <v>0.0</v>
      </c>
      <c r="J26" s="31">
        <f t="shared" si="22"/>
        <v>1</v>
      </c>
      <c r="K26" s="32" t="s">
        <v>30</v>
      </c>
      <c r="L26" s="33">
        <v>8.0</v>
      </c>
      <c r="M26" s="33">
        <v>12.0</v>
      </c>
      <c r="N26" s="34">
        <f t="shared" si="23"/>
        <v>0.4</v>
      </c>
      <c r="O26" s="32" t="s">
        <v>31</v>
      </c>
      <c r="P26" s="33">
        <v>8.0</v>
      </c>
      <c r="Q26" s="33">
        <v>11.0</v>
      </c>
      <c r="R26" s="35">
        <f t="shared" si="24"/>
        <v>0.4210526316</v>
      </c>
      <c r="S26" s="32" t="s">
        <v>32</v>
      </c>
      <c r="T26" s="33">
        <v>8.0</v>
      </c>
      <c r="U26" s="33">
        <v>5.0</v>
      </c>
      <c r="V26" s="35">
        <f t="shared" si="25"/>
        <v>0.6153846154</v>
      </c>
      <c r="X26" s="44"/>
      <c r="Y26" s="44"/>
      <c r="Z26" s="44"/>
      <c r="AA26" s="44"/>
      <c r="AB26" s="44"/>
    </row>
    <row r="27">
      <c r="C27" s="37" t="s">
        <v>33</v>
      </c>
      <c r="F27" s="38">
        <f>AVERAGE(E23:E26)</f>
        <v>4.25</v>
      </c>
      <c r="G27" s="37" t="s">
        <v>33</v>
      </c>
      <c r="J27" s="38">
        <f>AVERAGE(I23:I26)</f>
        <v>1.25</v>
      </c>
      <c r="K27" s="37" t="s">
        <v>33</v>
      </c>
      <c r="N27" s="38">
        <f>AVERAGE(N23:N26)</f>
        <v>0.5972222222</v>
      </c>
      <c r="O27" s="37" t="s">
        <v>33</v>
      </c>
      <c r="R27" s="38">
        <f>AVERAGE(R23:R26)</f>
        <v>0.6906798246</v>
      </c>
      <c r="S27" s="37" t="s">
        <v>33</v>
      </c>
      <c r="V27" s="38">
        <f>AVERAGE(U23:U26)</f>
        <v>2.75</v>
      </c>
      <c r="X27" s="44"/>
      <c r="Y27" s="44"/>
      <c r="Z27" s="44"/>
      <c r="AA27" s="44"/>
      <c r="AB27" s="44"/>
    </row>
    <row r="28">
      <c r="A28" s="25" t="s">
        <v>38</v>
      </c>
      <c r="B28" s="29" t="s">
        <v>12</v>
      </c>
      <c r="C28" s="25" t="s">
        <v>13</v>
      </c>
      <c r="D28" s="30">
        <v>6.0</v>
      </c>
      <c r="E28" s="30">
        <v>3.0</v>
      </c>
      <c r="F28" s="31">
        <f t="shared" ref="F28:F31" si="26">DIVIDE(D28,SUM(D28:E28))</f>
        <v>0.6666666667</v>
      </c>
      <c r="G28" s="32" t="s">
        <v>14</v>
      </c>
      <c r="H28" s="33">
        <v>3.0</v>
      </c>
      <c r="I28" s="33">
        <v>1.0</v>
      </c>
      <c r="J28" s="31">
        <f t="shared" ref="J28:J30" si="27">DIVIDE(H28,SUM(H28:I28))</f>
        <v>0.75</v>
      </c>
      <c r="K28" s="32" t="s">
        <v>15</v>
      </c>
      <c r="L28" s="33">
        <v>3.0</v>
      </c>
      <c r="M28" s="33">
        <v>1.0</v>
      </c>
      <c r="N28" s="34">
        <f t="shared" ref="N28:N31" si="28">DIVIDE(L28,SUM(L28:M28))</f>
        <v>0.75</v>
      </c>
      <c r="O28" s="32" t="s">
        <v>16</v>
      </c>
      <c r="P28" s="33">
        <v>5.0</v>
      </c>
      <c r="Q28" s="33">
        <v>0.0</v>
      </c>
      <c r="R28" s="35">
        <f t="shared" ref="R28:R31" si="29">DIVIDE(P28,SUM(P28:Q28))</f>
        <v>1</v>
      </c>
      <c r="S28" s="32" t="s">
        <v>17</v>
      </c>
      <c r="T28" s="33">
        <v>7.0</v>
      </c>
      <c r="U28" s="33">
        <v>2.0</v>
      </c>
      <c r="V28" s="35">
        <f t="shared" ref="V28:V29" si="30">DIVIDE(T28,SUM(T28:U28))</f>
        <v>0.7777777778</v>
      </c>
      <c r="X28" s="44">
        <f>AVERAGE(M28:M29)</f>
        <v>5</v>
      </c>
      <c r="Y28" s="44"/>
      <c r="Z28" s="44"/>
      <c r="AA28" s="44"/>
      <c r="AB28" s="44">
        <f>AVERAGE(Q28:Q29)</f>
        <v>2</v>
      </c>
    </row>
    <row r="29">
      <c r="C29" s="25" t="s">
        <v>18</v>
      </c>
      <c r="D29" s="30">
        <v>8.0</v>
      </c>
      <c r="E29" s="30">
        <v>7.0</v>
      </c>
      <c r="F29" s="31">
        <f t="shared" si="26"/>
        <v>0.5333333333</v>
      </c>
      <c r="G29" s="32" t="s">
        <v>19</v>
      </c>
      <c r="H29" s="33">
        <v>6.0</v>
      </c>
      <c r="I29" s="33">
        <v>11.0</v>
      </c>
      <c r="J29" s="31">
        <f t="shared" si="27"/>
        <v>0.3529411765</v>
      </c>
      <c r="K29" s="32" t="s">
        <v>20</v>
      </c>
      <c r="L29" s="33">
        <v>7.0</v>
      </c>
      <c r="M29" s="33">
        <v>9.0</v>
      </c>
      <c r="N29" s="34">
        <f t="shared" si="28"/>
        <v>0.4375</v>
      </c>
      <c r="O29" s="32" t="s">
        <v>21</v>
      </c>
      <c r="P29" s="33">
        <v>6.0</v>
      </c>
      <c r="Q29" s="33">
        <v>4.0</v>
      </c>
      <c r="R29" s="35">
        <f t="shared" si="29"/>
        <v>0.6</v>
      </c>
      <c r="S29" s="32" t="s">
        <v>22</v>
      </c>
      <c r="T29" s="33">
        <v>5.0</v>
      </c>
      <c r="U29" s="33">
        <v>4.0</v>
      </c>
      <c r="V29" s="35">
        <f t="shared" si="30"/>
        <v>0.5555555556</v>
      </c>
      <c r="X29" s="44"/>
      <c r="Y29" s="44"/>
      <c r="Z29" s="44"/>
      <c r="AA29" s="44"/>
      <c r="AB29" s="44"/>
    </row>
    <row r="30">
      <c r="C30" s="25" t="s">
        <v>23</v>
      </c>
      <c r="D30" s="30">
        <v>8.0</v>
      </c>
      <c r="E30" s="30">
        <v>11.0</v>
      </c>
      <c r="F30" s="31">
        <f t="shared" si="26"/>
        <v>0.4210526316</v>
      </c>
      <c r="G30" s="32" t="s">
        <v>24</v>
      </c>
      <c r="H30" s="33">
        <v>5.0</v>
      </c>
      <c r="I30" s="33">
        <v>2.0</v>
      </c>
      <c r="J30" s="31">
        <f t="shared" si="27"/>
        <v>0.7142857143</v>
      </c>
      <c r="K30" s="32" t="s">
        <v>25</v>
      </c>
      <c r="L30" s="33">
        <v>8.0</v>
      </c>
      <c r="M30" s="33">
        <v>3.0</v>
      </c>
      <c r="N30" s="34">
        <f t="shared" si="28"/>
        <v>0.7272727273</v>
      </c>
      <c r="O30" s="32" t="s">
        <v>26</v>
      </c>
      <c r="P30" s="33">
        <v>8.0</v>
      </c>
      <c r="Q30" s="33">
        <v>2.0</v>
      </c>
      <c r="R30" s="35">
        <f t="shared" si="29"/>
        <v>0.8</v>
      </c>
      <c r="S30" s="32" t="s">
        <v>27</v>
      </c>
      <c r="T30" s="33">
        <v>0.0</v>
      </c>
      <c r="U30" s="33">
        <v>0.0</v>
      </c>
      <c r="V30" s="40">
        <v>0.0</v>
      </c>
      <c r="X30" s="44">
        <f>AVERAGE(M30:M31)</f>
        <v>8</v>
      </c>
      <c r="Y30" s="44"/>
      <c r="Z30" s="44"/>
      <c r="AA30" s="44"/>
      <c r="AB30" s="44">
        <f>AVERAGE(Q30:Q31)</f>
        <v>2</v>
      </c>
    </row>
    <row r="31">
      <c r="C31" s="25" t="s">
        <v>28</v>
      </c>
      <c r="D31" s="30">
        <v>6.0</v>
      </c>
      <c r="E31" s="30">
        <v>10.0</v>
      </c>
      <c r="F31" s="31">
        <f t="shared" si="26"/>
        <v>0.375</v>
      </c>
      <c r="G31" s="32" t="s">
        <v>29</v>
      </c>
      <c r="H31" s="41">
        <v>0.0</v>
      </c>
      <c r="I31" s="33">
        <v>0.0</v>
      </c>
      <c r="J31" s="31">
        <v>0.0</v>
      </c>
      <c r="K31" s="32" t="s">
        <v>30</v>
      </c>
      <c r="L31" s="33">
        <v>7.0</v>
      </c>
      <c r="M31" s="33">
        <v>13.0</v>
      </c>
      <c r="N31" s="34">
        <f t="shared" si="28"/>
        <v>0.35</v>
      </c>
      <c r="O31" s="32" t="s">
        <v>31</v>
      </c>
      <c r="P31" s="33">
        <v>8.0</v>
      </c>
      <c r="Q31" s="33">
        <v>2.0</v>
      </c>
      <c r="R31" s="35">
        <f t="shared" si="29"/>
        <v>0.8</v>
      </c>
      <c r="S31" s="32" t="s">
        <v>32</v>
      </c>
      <c r="T31" s="33">
        <v>8.0</v>
      </c>
      <c r="U31" s="33">
        <v>13.0</v>
      </c>
      <c r="V31" s="35">
        <f>DIVIDE(T31,SUM(T31:U31))</f>
        <v>0.380952381</v>
      </c>
      <c r="X31" s="44"/>
      <c r="Y31" s="44"/>
      <c r="Z31" s="44"/>
      <c r="AA31" s="44"/>
      <c r="AB31" s="44"/>
    </row>
    <row r="32">
      <c r="C32" s="37" t="s">
        <v>33</v>
      </c>
      <c r="F32" s="38">
        <f>AVERAGE(E28:E31)</f>
        <v>7.75</v>
      </c>
      <c r="G32" s="37" t="s">
        <v>33</v>
      </c>
      <c r="J32" s="38">
        <f>AVERAGE(I28:I31)</f>
        <v>3.5</v>
      </c>
      <c r="K32" s="37" t="s">
        <v>33</v>
      </c>
      <c r="N32" s="38">
        <f>AVERAGE(N28:N31)</f>
        <v>0.5661931818</v>
      </c>
      <c r="O32" s="37" t="s">
        <v>33</v>
      </c>
      <c r="R32" s="38">
        <f>AVERAGE(R28:R31)</f>
        <v>0.8</v>
      </c>
      <c r="S32" s="37" t="s">
        <v>33</v>
      </c>
      <c r="V32" s="38">
        <f>AVERAGE(U28:U31)</f>
        <v>4.75</v>
      </c>
      <c r="X32" s="44"/>
      <c r="Y32" s="44"/>
      <c r="Z32" s="44"/>
      <c r="AA32" s="44"/>
      <c r="AB32" s="44"/>
    </row>
    <row r="33">
      <c r="A33" s="25" t="s">
        <v>39</v>
      </c>
      <c r="B33" s="29" t="s">
        <v>12</v>
      </c>
      <c r="C33" s="25" t="s">
        <v>13</v>
      </c>
      <c r="D33" s="30">
        <v>8.0</v>
      </c>
      <c r="E33" s="30">
        <v>2.0</v>
      </c>
      <c r="F33" s="31">
        <f t="shared" ref="F33:F36" si="31">DIVIDE(D33,SUM(D33:E33))</f>
        <v>0.8</v>
      </c>
      <c r="G33" s="32" t="s">
        <v>14</v>
      </c>
      <c r="H33" s="33">
        <v>0.0</v>
      </c>
      <c r="I33" s="33">
        <v>0.0</v>
      </c>
      <c r="J33" s="31">
        <v>0.0</v>
      </c>
      <c r="K33" s="32" t="s">
        <v>15</v>
      </c>
      <c r="L33" s="33">
        <v>4.0</v>
      </c>
      <c r="M33" s="33">
        <v>0.0</v>
      </c>
      <c r="N33" s="34">
        <f t="shared" ref="N33:N36" si="32">DIVIDE(L33,SUM(L33:M33))</f>
        <v>1</v>
      </c>
      <c r="O33" s="32" t="s">
        <v>16</v>
      </c>
      <c r="P33" s="33">
        <v>0.0</v>
      </c>
      <c r="Q33" s="33">
        <v>0.0</v>
      </c>
      <c r="R33" s="40">
        <v>0.0</v>
      </c>
      <c r="S33" s="32" t="s">
        <v>17</v>
      </c>
      <c r="T33" s="33">
        <v>6.0</v>
      </c>
      <c r="U33" s="33">
        <v>8.0</v>
      </c>
      <c r="V33" s="35">
        <f t="shared" ref="V33:V36" si="33">DIVIDE(T33,SUM(T33:U33))</f>
        <v>0.4285714286</v>
      </c>
      <c r="X33" s="44">
        <f>AVERAGE(M33:M34)</f>
        <v>3</v>
      </c>
      <c r="Y33" s="44"/>
      <c r="Z33" s="44"/>
      <c r="AA33" s="44"/>
      <c r="AB33" s="44">
        <f>AVERAGE(Q33:Q34)</f>
        <v>3.5</v>
      </c>
    </row>
    <row r="34">
      <c r="C34" s="25" t="s">
        <v>18</v>
      </c>
      <c r="D34" s="30">
        <v>7.0</v>
      </c>
      <c r="E34" s="30">
        <v>10.0</v>
      </c>
      <c r="F34" s="31">
        <f t="shared" si="31"/>
        <v>0.4117647059</v>
      </c>
      <c r="G34" s="32" t="s">
        <v>19</v>
      </c>
      <c r="H34" s="33">
        <v>8.0</v>
      </c>
      <c r="I34" s="33">
        <v>11.0</v>
      </c>
      <c r="J34" s="31">
        <f t="shared" ref="J34:J36" si="34">DIVIDE(H34,SUM(H34:I34))</f>
        <v>0.4210526316</v>
      </c>
      <c r="K34" s="32" t="s">
        <v>20</v>
      </c>
      <c r="L34" s="33">
        <v>8.0</v>
      </c>
      <c r="M34" s="33">
        <v>6.0</v>
      </c>
      <c r="N34" s="34">
        <f t="shared" si="32"/>
        <v>0.5714285714</v>
      </c>
      <c r="O34" s="32" t="s">
        <v>21</v>
      </c>
      <c r="P34" s="33">
        <v>6.0</v>
      </c>
      <c r="Q34" s="33">
        <v>7.0</v>
      </c>
      <c r="R34" s="35">
        <f t="shared" ref="R34:R36" si="35">DIVIDE(P34,SUM(P34:Q34))</f>
        <v>0.4615384615</v>
      </c>
      <c r="S34" s="32" t="s">
        <v>22</v>
      </c>
      <c r="T34" s="33">
        <v>8.0</v>
      </c>
      <c r="U34" s="33">
        <v>1.0</v>
      </c>
      <c r="V34" s="35">
        <f t="shared" si="33"/>
        <v>0.8888888889</v>
      </c>
      <c r="X34" s="44"/>
      <c r="Y34" s="44"/>
      <c r="Z34" s="44"/>
      <c r="AA34" s="44"/>
      <c r="AB34" s="44"/>
    </row>
    <row r="35">
      <c r="C35" s="25" t="s">
        <v>23</v>
      </c>
      <c r="D35" s="30">
        <v>7.0</v>
      </c>
      <c r="E35" s="30">
        <v>13.0</v>
      </c>
      <c r="F35" s="31">
        <f t="shared" si="31"/>
        <v>0.35</v>
      </c>
      <c r="G35" s="32" t="s">
        <v>24</v>
      </c>
      <c r="H35" s="33">
        <v>7.0</v>
      </c>
      <c r="I35" s="33">
        <v>1.0</v>
      </c>
      <c r="J35" s="31">
        <f t="shared" si="34"/>
        <v>0.875</v>
      </c>
      <c r="K35" s="32" t="s">
        <v>25</v>
      </c>
      <c r="L35" s="33">
        <v>8.0</v>
      </c>
      <c r="M35" s="33">
        <v>1.0</v>
      </c>
      <c r="N35" s="34">
        <f t="shared" si="32"/>
        <v>0.8888888889</v>
      </c>
      <c r="O35" s="32" t="s">
        <v>26</v>
      </c>
      <c r="P35" s="33">
        <v>8.0</v>
      </c>
      <c r="Q35" s="33">
        <v>10.0</v>
      </c>
      <c r="R35" s="35">
        <f t="shared" si="35"/>
        <v>0.4444444444</v>
      </c>
      <c r="S35" s="32" t="s">
        <v>27</v>
      </c>
      <c r="T35" s="33">
        <v>2.0</v>
      </c>
      <c r="U35" s="33">
        <v>0.0</v>
      </c>
      <c r="V35" s="35">
        <f t="shared" si="33"/>
        <v>1</v>
      </c>
      <c r="X35" s="44">
        <f>AVERAGE(M35:M36)</f>
        <v>2</v>
      </c>
      <c r="Y35" s="44"/>
      <c r="Z35" s="44"/>
      <c r="AA35" s="44"/>
      <c r="AB35" s="44">
        <f>AVERAGE(Q35:Q36)</f>
        <v>12.5</v>
      </c>
    </row>
    <row r="36">
      <c r="C36" s="25" t="s">
        <v>28</v>
      </c>
      <c r="D36" s="30">
        <v>6.0</v>
      </c>
      <c r="E36" s="30">
        <v>4.0</v>
      </c>
      <c r="F36" s="31">
        <f t="shared" si="31"/>
        <v>0.6</v>
      </c>
      <c r="G36" s="32" t="s">
        <v>29</v>
      </c>
      <c r="H36" s="33">
        <v>1.0</v>
      </c>
      <c r="I36" s="33">
        <v>0.0</v>
      </c>
      <c r="J36" s="31">
        <f t="shared" si="34"/>
        <v>1</v>
      </c>
      <c r="K36" s="32" t="s">
        <v>30</v>
      </c>
      <c r="L36" s="33">
        <v>8.0</v>
      </c>
      <c r="M36" s="33">
        <v>3.0</v>
      </c>
      <c r="N36" s="34">
        <f t="shared" si="32"/>
        <v>0.7272727273</v>
      </c>
      <c r="O36" s="32" t="s">
        <v>31</v>
      </c>
      <c r="P36" s="33">
        <v>7.0</v>
      </c>
      <c r="Q36" s="33">
        <v>15.0</v>
      </c>
      <c r="R36" s="35">
        <f t="shared" si="35"/>
        <v>0.3181818182</v>
      </c>
      <c r="S36" s="32" t="s">
        <v>32</v>
      </c>
      <c r="T36" s="33">
        <v>8.0</v>
      </c>
      <c r="U36" s="33">
        <v>11.0</v>
      </c>
      <c r="V36" s="35">
        <f t="shared" si="33"/>
        <v>0.4210526316</v>
      </c>
      <c r="X36" s="44"/>
      <c r="Y36" s="44"/>
      <c r="Z36" s="44"/>
      <c r="AA36" s="44"/>
      <c r="AB36" s="44"/>
    </row>
    <row r="37">
      <c r="C37" s="37" t="s">
        <v>33</v>
      </c>
      <c r="F37" s="38">
        <f>AVERAGE(E33:E36)</f>
        <v>7.25</v>
      </c>
      <c r="G37" s="37" t="s">
        <v>33</v>
      </c>
      <c r="J37" s="38">
        <f>AVERAGE(I33:I36)</f>
        <v>3</v>
      </c>
      <c r="K37" s="37" t="s">
        <v>33</v>
      </c>
      <c r="N37" s="38">
        <f>AVERAGE(N33:N36)</f>
        <v>0.7968975469</v>
      </c>
      <c r="O37" s="37" t="s">
        <v>33</v>
      </c>
      <c r="R37" s="38">
        <f>AVERAGE(R33:R36)</f>
        <v>0.306041181</v>
      </c>
      <c r="S37" s="37" t="s">
        <v>33</v>
      </c>
      <c r="V37" s="38">
        <f>AVERAGE(U33:U36)</f>
        <v>5</v>
      </c>
      <c r="X37" s="44"/>
      <c r="Y37" s="44"/>
      <c r="Z37" s="44"/>
      <c r="AA37" s="44"/>
      <c r="AB37" s="44"/>
    </row>
    <row r="38">
      <c r="A38" s="25" t="s">
        <v>40</v>
      </c>
      <c r="B38" s="29" t="s">
        <v>12</v>
      </c>
      <c r="C38" s="25" t="s">
        <v>13</v>
      </c>
      <c r="D38" s="30">
        <v>6.0</v>
      </c>
      <c r="E38" s="30">
        <v>9.0</v>
      </c>
      <c r="F38" s="31">
        <f t="shared" ref="F38:F41" si="36">DIVIDE(D38,SUM(D38:E38))</f>
        <v>0.4</v>
      </c>
      <c r="G38" s="32" t="s">
        <v>14</v>
      </c>
      <c r="H38" s="33">
        <v>2.0</v>
      </c>
      <c r="I38" s="33">
        <v>1.0</v>
      </c>
      <c r="J38" s="31">
        <f t="shared" ref="J38:J41" si="37">DIVIDE(H38,SUM(H38:I38))</f>
        <v>0.6666666667</v>
      </c>
      <c r="K38" s="32" t="s">
        <v>15</v>
      </c>
      <c r="L38" s="33">
        <v>3.0</v>
      </c>
      <c r="M38" s="33">
        <v>0.0</v>
      </c>
      <c r="N38" s="34">
        <f t="shared" ref="N38:N41" si="38">DIVIDE(L38,SUM(L38:M38))</f>
        <v>1</v>
      </c>
      <c r="O38" s="32" t="s">
        <v>16</v>
      </c>
      <c r="P38" s="33">
        <v>5.0</v>
      </c>
      <c r="Q38" s="33">
        <v>0.0</v>
      </c>
      <c r="R38" s="35">
        <f t="shared" ref="R38:R41" si="39">DIVIDE(P38,SUM(P38:Q38))</f>
        <v>1</v>
      </c>
      <c r="S38" s="32" t="s">
        <v>17</v>
      </c>
      <c r="T38" s="33">
        <v>8.0</v>
      </c>
      <c r="U38" s="33">
        <v>0.0</v>
      </c>
      <c r="V38" s="35">
        <f t="shared" ref="V38:V41" si="40">DIVIDE(T38,SUM(T38:U38))</f>
        <v>1</v>
      </c>
      <c r="X38" s="44">
        <f>AVERAGE(M38:M39)</f>
        <v>4</v>
      </c>
      <c r="Y38" s="44"/>
      <c r="Z38" s="44"/>
      <c r="AA38" s="44"/>
      <c r="AB38" s="44">
        <f>AVERAGE(Q38:Q39)</f>
        <v>4</v>
      </c>
    </row>
    <row r="39">
      <c r="C39" s="25" t="s">
        <v>18</v>
      </c>
      <c r="D39" s="30">
        <v>7.0</v>
      </c>
      <c r="E39" s="30">
        <v>7.0</v>
      </c>
      <c r="F39" s="31">
        <f t="shared" si="36"/>
        <v>0.5</v>
      </c>
      <c r="G39" s="32" t="s">
        <v>19</v>
      </c>
      <c r="H39" s="33">
        <v>8.0</v>
      </c>
      <c r="I39" s="33">
        <v>3.0</v>
      </c>
      <c r="J39" s="31">
        <f t="shared" si="37"/>
        <v>0.7272727273</v>
      </c>
      <c r="K39" s="32" t="s">
        <v>20</v>
      </c>
      <c r="L39" s="33">
        <v>8.0</v>
      </c>
      <c r="M39" s="33">
        <v>8.0</v>
      </c>
      <c r="N39" s="34">
        <f t="shared" si="38"/>
        <v>0.5</v>
      </c>
      <c r="O39" s="32" t="s">
        <v>21</v>
      </c>
      <c r="P39" s="33">
        <v>7.0</v>
      </c>
      <c r="Q39" s="33">
        <v>8.0</v>
      </c>
      <c r="R39" s="35">
        <f t="shared" si="39"/>
        <v>0.4666666667</v>
      </c>
      <c r="S39" s="32" t="s">
        <v>22</v>
      </c>
      <c r="T39" s="33">
        <v>8.0</v>
      </c>
      <c r="U39" s="33">
        <v>2.0</v>
      </c>
      <c r="V39" s="35">
        <f t="shared" si="40"/>
        <v>0.8</v>
      </c>
      <c r="X39" s="44"/>
      <c r="Y39" s="44"/>
      <c r="Z39" s="44"/>
      <c r="AA39" s="44"/>
      <c r="AB39" s="44"/>
    </row>
    <row r="40">
      <c r="C40" s="25" t="s">
        <v>23</v>
      </c>
      <c r="D40" s="30">
        <v>4.0</v>
      </c>
      <c r="E40" s="30">
        <v>3.0</v>
      </c>
      <c r="F40" s="31">
        <f t="shared" si="36"/>
        <v>0.5714285714</v>
      </c>
      <c r="G40" s="32" t="s">
        <v>24</v>
      </c>
      <c r="H40" s="33">
        <v>5.0</v>
      </c>
      <c r="I40" s="33">
        <v>5.0</v>
      </c>
      <c r="J40" s="31">
        <f t="shared" si="37"/>
        <v>0.5</v>
      </c>
      <c r="K40" s="32" t="s">
        <v>25</v>
      </c>
      <c r="L40" s="33">
        <v>8.0</v>
      </c>
      <c r="M40" s="33">
        <v>9.0</v>
      </c>
      <c r="N40" s="34">
        <f t="shared" si="38"/>
        <v>0.4705882353</v>
      </c>
      <c r="O40" s="32" t="s">
        <v>26</v>
      </c>
      <c r="P40" s="33">
        <v>8.0</v>
      </c>
      <c r="Q40" s="33">
        <v>6.0</v>
      </c>
      <c r="R40" s="35">
        <f t="shared" si="39"/>
        <v>0.5714285714</v>
      </c>
      <c r="S40" s="32" t="s">
        <v>27</v>
      </c>
      <c r="T40" s="33">
        <v>6.0</v>
      </c>
      <c r="U40" s="33">
        <v>3.0</v>
      </c>
      <c r="V40" s="35">
        <f t="shared" si="40"/>
        <v>0.6666666667</v>
      </c>
      <c r="X40" s="44">
        <f>AVERAGE(M40:M41)</f>
        <v>5</v>
      </c>
      <c r="Y40" s="44"/>
      <c r="Z40" s="44"/>
      <c r="AA40" s="44"/>
      <c r="AB40" s="44">
        <f>AVERAGE(Q40:Q41)</f>
        <v>3.5</v>
      </c>
    </row>
    <row r="41">
      <c r="C41" s="25" t="s">
        <v>28</v>
      </c>
      <c r="D41" s="30">
        <v>8.0</v>
      </c>
      <c r="E41" s="30">
        <v>6.0</v>
      </c>
      <c r="F41" s="31">
        <f t="shared" si="36"/>
        <v>0.5714285714</v>
      </c>
      <c r="G41" s="32" t="s">
        <v>29</v>
      </c>
      <c r="H41" s="33">
        <v>5.0</v>
      </c>
      <c r="I41" s="33">
        <v>1.0</v>
      </c>
      <c r="J41" s="31">
        <f t="shared" si="37"/>
        <v>0.8333333333</v>
      </c>
      <c r="K41" s="32" t="s">
        <v>30</v>
      </c>
      <c r="L41" s="33">
        <v>8.0</v>
      </c>
      <c r="M41" s="33">
        <v>1.0</v>
      </c>
      <c r="N41" s="34">
        <f t="shared" si="38"/>
        <v>0.8888888889</v>
      </c>
      <c r="O41" s="32" t="s">
        <v>31</v>
      </c>
      <c r="P41" s="33">
        <v>8.0</v>
      </c>
      <c r="Q41" s="33">
        <v>1.0</v>
      </c>
      <c r="R41" s="35">
        <f t="shared" si="39"/>
        <v>0.8888888889</v>
      </c>
      <c r="S41" s="32" t="s">
        <v>32</v>
      </c>
      <c r="T41" s="33">
        <v>8.0</v>
      </c>
      <c r="U41" s="33">
        <v>6.0</v>
      </c>
      <c r="V41" s="35">
        <f t="shared" si="40"/>
        <v>0.5714285714</v>
      </c>
      <c r="X41" s="44"/>
      <c r="Y41" s="44"/>
      <c r="Z41" s="44"/>
      <c r="AA41" s="44"/>
      <c r="AB41" s="44"/>
    </row>
    <row r="42">
      <c r="C42" s="37" t="s">
        <v>33</v>
      </c>
      <c r="F42" s="38">
        <f>AVERAGE(E38:E41)</f>
        <v>6.25</v>
      </c>
      <c r="G42" s="37" t="s">
        <v>33</v>
      </c>
      <c r="J42" s="38">
        <f>AVERAGE(I38:I41)</f>
        <v>2.5</v>
      </c>
      <c r="K42" s="37" t="s">
        <v>33</v>
      </c>
      <c r="N42" s="38">
        <f>AVERAGE(N38:N41)</f>
        <v>0.714869281</v>
      </c>
      <c r="O42" s="37" t="s">
        <v>33</v>
      </c>
      <c r="R42" s="38">
        <f>AVERAGE(R38:R41)</f>
        <v>0.7317460317</v>
      </c>
      <c r="S42" s="37" t="s">
        <v>33</v>
      </c>
      <c r="V42" s="38">
        <f>AVERAGE(U38:U41)</f>
        <v>2.75</v>
      </c>
      <c r="X42" s="44"/>
      <c r="Y42" s="44"/>
      <c r="Z42" s="44"/>
      <c r="AA42" s="44"/>
      <c r="AB42" s="44"/>
    </row>
    <row r="43">
      <c r="A43" s="25" t="s">
        <v>41</v>
      </c>
      <c r="B43" s="29" t="s">
        <v>12</v>
      </c>
      <c r="C43" s="25" t="s">
        <v>13</v>
      </c>
      <c r="D43" s="30">
        <v>7.0</v>
      </c>
      <c r="E43" s="30">
        <v>7.0</v>
      </c>
      <c r="F43" s="31">
        <f t="shared" ref="F43:F46" si="41">DIVIDE(D43,SUM(D43:E43))</f>
        <v>0.5</v>
      </c>
      <c r="G43" s="32" t="s">
        <v>14</v>
      </c>
      <c r="H43" s="33">
        <v>4.0</v>
      </c>
      <c r="I43" s="33">
        <v>0.0</v>
      </c>
      <c r="J43" s="31">
        <f t="shared" ref="J43:J46" si="42">DIVIDE(H43,SUM(H43:I43))</f>
        <v>1</v>
      </c>
      <c r="K43" s="32" t="s">
        <v>15</v>
      </c>
      <c r="L43" s="41">
        <v>0.0</v>
      </c>
      <c r="M43" s="33">
        <v>0.0</v>
      </c>
      <c r="N43" s="42">
        <v>0.0</v>
      </c>
      <c r="O43" s="32" t="s">
        <v>16</v>
      </c>
      <c r="P43" s="33">
        <v>7.0</v>
      </c>
      <c r="Q43" s="33">
        <v>4.0</v>
      </c>
      <c r="R43" s="35">
        <f t="shared" ref="R43:R46" si="43">DIVIDE(P43,SUM(P43:Q43))</f>
        <v>0.6363636364</v>
      </c>
      <c r="S43" s="32" t="s">
        <v>17</v>
      </c>
      <c r="T43" s="33">
        <v>8.0</v>
      </c>
      <c r="U43" s="33">
        <v>1.0</v>
      </c>
      <c r="V43" s="35">
        <f t="shared" ref="V43:V46" si="44">DIVIDE(T43,SUM(T43:U43))</f>
        <v>0.8888888889</v>
      </c>
      <c r="X43" s="44">
        <f>AVERAGE(M43:M44)</f>
        <v>0.5</v>
      </c>
      <c r="Y43" s="44"/>
      <c r="Z43" s="44"/>
      <c r="AA43" s="44"/>
      <c r="AB43" s="44">
        <f>AVERAGE(Q43:Q44)</f>
        <v>8</v>
      </c>
    </row>
    <row r="44">
      <c r="C44" s="25" t="s">
        <v>18</v>
      </c>
      <c r="D44" s="30">
        <v>8.0</v>
      </c>
      <c r="E44" s="30">
        <v>5.0</v>
      </c>
      <c r="F44" s="31">
        <f t="shared" si="41"/>
        <v>0.6153846154</v>
      </c>
      <c r="G44" s="32" t="s">
        <v>19</v>
      </c>
      <c r="H44" s="33">
        <v>8.0</v>
      </c>
      <c r="I44" s="33">
        <v>0.0</v>
      </c>
      <c r="J44" s="31">
        <f t="shared" si="42"/>
        <v>1</v>
      </c>
      <c r="K44" s="32" t="s">
        <v>20</v>
      </c>
      <c r="L44" s="33">
        <v>8.0</v>
      </c>
      <c r="M44" s="33">
        <v>1.0</v>
      </c>
      <c r="N44" s="34">
        <f t="shared" ref="N44:N46" si="45">DIVIDE(L44,SUM(L44:M44))</f>
        <v>0.8888888889</v>
      </c>
      <c r="O44" s="32" t="s">
        <v>21</v>
      </c>
      <c r="P44" s="33">
        <v>8.0</v>
      </c>
      <c r="Q44" s="33">
        <v>12.0</v>
      </c>
      <c r="R44" s="35">
        <f t="shared" si="43"/>
        <v>0.4</v>
      </c>
      <c r="S44" s="32" t="s">
        <v>22</v>
      </c>
      <c r="T44" s="33">
        <v>7.0</v>
      </c>
      <c r="U44" s="33">
        <v>9.0</v>
      </c>
      <c r="V44" s="35">
        <f t="shared" si="44"/>
        <v>0.4375</v>
      </c>
      <c r="X44" s="44"/>
      <c r="Y44" s="44"/>
      <c r="Z44" s="44"/>
      <c r="AA44" s="44"/>
      <c r="AB44" s="44"/>
    </row>
    <row r="45">
      <c r="C45" s="25" t="s">
        <v>23</v>
      </c>
      <c r="D45" s="30">
        <v>8.0</v>
      </c>
      <c r="E45" s="30">
        <v>2.0</v>
      </c>
      <c r="F45" s="31">
        <f t="shared" si="41"/>
        <v>0.8</v>
      </c>
      <c r="G45" s="32" t="s">
        <v>24</v>
      </c>
      <c r="H45" s="33">
        <v>5.0</v>
      </c>
      <c r="I45" s="33">
        <v>2.0</v>
      </c>
      <c r="J45" s="31">
        <f t="shared" si="42"/>
        <v>0.7142857143</v>
      </c>
      <c r="K45" s="32" t="s">
        <v>25</v>
      </c>
      <c r="L45" s="33">
        <v>8.0</v>
      </c>
      <c r="M45" s="33">
        <v>6.0</v>
      </c>
      <c r="N45" s="34">
        <f t="shared" si="45"/>
        <v>0.5714285714</v>
      </c>
      <c r="O45" s="32" t="s">
        <v>26</v>
      </c>
      <c r="P45" s="33">
        <v>8.0</v>
      </c>
      <c r="Q45" s="33">
        <v>12.0</v>
      </c>
      <c r="R45" s="35">
        <f t="shared" si="43"/>
        <v>0.4</v>
      </c>
      <c r="S45" s="32" t="s">
        <v>27</v>
      </c>
      <c r="T45" s="33">
        <v>7.0</v>
      </c>
      <c r="U45" s="33">
        <v>7.0</v>
      </c>
      <c r="V45" s="35">
        <f t="shared" si="44"/>
        <v>0.5</v>
      </c>
      <c r="X45" s="44">
        <f>AVERAGE(M45:M46)</f>
        <v>10</v>
      </c>
      <c r="Y45" s="44"/>
      <c r="Z45" s="44"/>
      <c r="AA45" s="44"/>
      <c r="AB45" s="44">
        <f>AVERAGE(Q45:Q46)</f>
        <v>7</v>
      </c>
    </row>
    <row r="46">
      <c r="C46" s="25" t="s">
        <v>28</v>
      </c>
      <c r="D46" s="30">
        <v>6.0</v>
      </c>
      <c r="E46" s="30">
        <v>3.0</v>
      </c>
      <c r="F46" s="31">
        <f t="shared" si="41"/>
        <v>0.6666666667</v>
      </c>
      <c r="G46" s="32" t="s">
        <v>29</v>
      </c>
      <c r="H46" s="33">
        <v>8.0</v>
      </c>
      <c r="I46" s="33">
        <v>4.0</v>
      </c>
      <c r="J46" s="31">
        <f t="shared" si="42"/>
        <v>0.6666666667</v>
      </c>
      <c r="K46" s="32" t="s">
        <v>30</v>
      </c>
      <c r="L46" s="33">
        <v>7.0</v>
      </c>
      <c r="M46" s="33">
        <v>14.0</v>
      </c>
      <c r="N46" s="34">
        <f t="shared" si="45"/>
        <v>0.3333333333</v>
      </c>
      <c r="O46" s="32" t="s">
        <v>31</v>
      </c>
      <c r="P46" s="33">
        <v>8.0</v>
      </c>
      <c r="Q46" s="33">
        <v>2.0</v>
      </c>
      <c r="R46" s="35">
        <f t="shared" si="43"/>
        <v>0.8</v>
      </c>
      <c r="S46" s="32" t="s">
        <v>32</v>
      </c>
      <c r="T46" s="33">
        <v>8.0</v>
      </c>
      <c r="U46" s="33">
        <v>3.0</v>
      </c>
      <c r="V46" s="35">
        <f t="shared" si="44"/>
        <v>0.7272727273</v>
      </c>
      <c r="X46" s="44"/>
      <c r="Y46" s="44"/>
      <c r="Z46" s="44"/>
      <c r="AA46" s="44"/>
      <c r="AB46" s="44"/>
    </row>
    <row r="47">
      <c r="C47" s="37" t="s">
        <v>33</v>
      </c>
      <c r="F47" s="38">
        <f>AVERAGE(E43:E46)</f>
        <v>4.25</v>
      </c>
      <c r="G47" s="37" t="s">
        <v>33</v>
      </c>
      <c r="J47" s="38">
        <f>AVERAGE(I43:I46)</f>
        <v>1.5</v>
      </c>
      <c r="K47" s="37" t="s">
        <v>33</v>
      </c>
      <c r="N47" s="38">
        <f>AVERAGE(N43:N46)</f>
        <v>0.4484126984</v>
      </c>
      <c r="O47" s="37" t="s">
        <v>33</v>
      </c>
      <c r="R47" s="38">
        <f>AVERAGE(R43:R46)</f>
        <v>0.5590909091</v>
      </c>
      <c r="S47" s="37" t="s">
        <v>33</v>
      </c>
      <c r="V47" s="38">
        <f>AVERAGE(U43:U46)</f>
        <v>5</v>
      </c>
      <c r="X47" s="44"/>
      <c r="Y47" s="44"/>
      <c r="Z47" s="44"/>
      <c r="AA47" s="44"/>
      <c r="AB47" s="44"/>
    </row>
    <row r="48">
      <c r="A48" s="25" t="s">
        <v>42</v>
      </c>
      <c r="B48" s="29" t="s">
        <v>12</v>
      </c>
      <c r="C48" s="25" t="s">
        <v>13</v>
      </c>
      <c r="D48" s="30">
        <v>6.0</v>
      </c>
      <c r="E48" s="30">
        <v>5.0</v>
      </c>
      <c r="F48" s="31">
        <f t="shared" ref="F48:F51" si="46">DIVIDE(D48,SUM(D48:E48))</f>
        <v>0.5454545455</v>
      </c>
      <c r="G48" s="32" t="s">
        <v>14</v>
      </c>
      <c r="H48" s="33">
        <v>5.0</v>
      </c>
      <c r="I48" s="33">
        <v>4.0</v>
      </c>
      <c r="J48" s="31">
        <f t="shared" ref="J48:J51" si="47">DIVIDE(H48,SUM(H48:I48))</f>
        <v>0.5555555556</v>
      </c>
      <c r="K48" s="32" t="s">
        <v>15</v>
      </c>
      <c r="L48" s="33">
        <v>3.0</v>
      </c>
      <c r="M48" s="33">
        <v>0.0</v>
      </c>
      <c r="N48" s="34">
        <f t="shared" ref="N48:N51" si="48">DIVIDE(L48,SUM(L48:M48))</f>
        <v>1</v>
      </c>
      <c r="O48" s="32" t="s">
        <v>16</v>
      </c>
      <c r="P48" s="33">
        <v>7.0</v>
      </c>
      <c r="Q48" s="33">
        <v>6.0</v>
      </c>
      <c r="R48" s="35">
        <f t="shared" ref="R48:R51" si="49">DIVIDE(P48,SUM(P48:Q48))</f>
        <v>0.5384615385</v>
      </c>
      <c r="S48" s="32" t="s">
        <v>17</v>
      </c>
      <c r="T48" s="33">
        <v>7.0</v>
      </c>
      <c r="U48" s="33">
        <v>16.0</v>
      </c>
      <c r="V48" s="35">
        <f t="shared" ref="V48:V51" si="50">DIVIDE(T48,SUM(T48:U48))</f>
        <v>0.3043478261</v>
      </c>
      <c r="X48" s="44">
        <f>AVERAGE(M48:M49)</f>
        <v>2</v>
      </c>
      <c r="Y48" s="44"/>
      <c r="Z48" s="44"/>
      <c r="AA48" s="44"/>
      <c r="AB48" s="44">
        <f>AVERAGE(Q48:Q49)</f>
        <v>9</v>
      </c>
    </row>
    <row r="49">
      <c r="C49" s="25" t="s">
        <v>18</v>
      </c>
      <c r="D49" s="30">
        <v>6.0</v>
      </c>
      <c r="E49" s="30">
        <v>5.0</v>
      </c>
      <c r="F49" s="31">
        <f t="shared" si="46"/>
        <v>0.5454545455</v>
      </c>
      <c r="G49" s="32" t="s">
        <v>19</v>
      </c>
      <c r="H49" s="33">
        <v>8.0</v>
      </c>
      <c r="I49" s="33">
        <v>2.0</v>
      </c>
      <c r="J49" s="31">
        <f t="shared" si="47"/>
        <v>0.8</v>
      </c>
      <c r="K49" s="32" t="s">
        <v>20</v>
      </c>
      <c r="L49" s="33">
        <v>8.0</v>
      </c>
      <c r="M49" s="33">
        <v>4.0</v>
      </c>
      <c r="N49" s="34">
        <f t="shared" si="48"/>
        <v>0.6666666667</v>
      </c>
      <c r="O49" s="32" t="s">
        <v>21</v>
      </c>
      <c r="P49" s="33">
        <v>8.0</v>
      </c>
      <c r="Q49" s="33">
        <v>12.0</v>
      </c>
      <c r="R49" s="35">
        <f t="shared" si="49"/>
        <v>0.4</v>
      </c>
      <c r="S49" s="32" t="s">
        <v>22</v>
      </c>
      <c r="T49" s="33">
        <v>7.0</v>
      </c>
      <c r="U49" s="33">
        <v>7.0</v>
      </c>
      <c r="V49" s="35">
        <f t="shared" si="50"/>
        <v>0.5</v>
      </c>
      <c r="X49" s="44"/>
      <c r="Y49" s="44"/>
      <c r="Z49" s="44"/>
      <c r="AA49" s="44"/>
      <c r="AB49" s="44"/>
    </row>
    <row r="50">
      <c r="C50" s="25" t="s">
        <v>23</v>
      </c>
      <c r="D50" s="30">
        <v>8.0</v>
      </c>
      <c r="E50" s="30">
        <v>4.0</v>
      </c>
      <c r="F50" s="31">
        <f t="shared" si="46"/>
        <v>0.6666666667</v>
      </c>
      <c r="G50" s="32" t="s">
        <v>24</v>
      </c>
      <c r="H50" s="33">
        <v>8.0</v>
      </c>
      <c r="I50" s="33">
        <v>3.0</v>
      </c>
      <c r="J50" s="31">
        <f t="shared" si="47"/>
        <v>0.7272727273</v>
      </c>
      <c r="K50" s="32" t="s">
        <v>25</v>
      </c>
      <c r="L50" s="33">
        <v>8.0</v>
      </c>
      <c r="M50" s="33">
        <v>6.0</v>
      </c>
      <c r="N50" s="34">
        <f t="shared" si="48"/>
        <v>0.5714285714</v>
      </c>
      <c r="O50" s="32" t="s">
        <v>26</v>
      </c>
      <c r="P50" s="33">
        <v>8.0</v>
      </c>
      <c r="Q50" s="33">
        <v>15.0</v>
      </c>
      <c r="R50" s="35">
        <f t="shared" si="49"/>
        <v>0.347826087</v>
      </c>
      <c r="S50" s="32" t="s">
        <v>27</v>
      </c>
      <c r="T50" s="33">
        <v>7.0</v>
      </c>
      <c r="U50" s="33">
        <v>12.0</v>
      </c>
      <c r="V50" s="35">
        <f t="shared" si="50"/>
        <v>0.3684210526</v>
      </c>
      <c r="X50" s="44">
        <f>AVERAGE(M50:M51)</f>
        <v>7.5</v>
      </c>
      <c r="Y50" s="44"/>
      <c r="Z50" s="44"/>
      <c r="AA50" s="44"/>
      <c r="AB50" s="44">
        <f>AVERAGE(Q50:Q51)</f>
        <v>11.5</v>
      </c>
    </row>
    <row r="51">
      <c r="C51" s="25" t="s">
        <v>28</v>
      </c>
      <c r="D51" s="30">
        <v>8.0</v>
      </c>
      <c r="E51" s="30">
        <v>7.0</v>
      </c>
      <c r="F51" s="31">
        <f t="shared" si="46"/>
        <v>0.5333333333</v>
      </c>
      <c r="G51" s="32" t="s">
        <v>29</v>
      </c>
      <c r="H51" s="33">
        <v>8.0</v>
      </c>
      <c r="I51" s="33">
        <v>6.0</v>
      </c>
      <c r="J51" s="31">
        <f t="shared" si="47"/>
        <v>0.5714285714</v>
      </c>
      <c r="K51" s="32" t="s">
        <v>30</v>
      </c>
      <c r="L51" s="33">
        <v>8.0</v>
      </c>
      <c r="M51" s="33">
        <v>9.0</v>
      </c>
      <c r="N51" s="34">
        <f t="shared" si="48"/>
        <v>0.4705882353</v>
      </c>
      <c r="O51" s="32" t="s">
        <v>31</v>
      </c>
      <c r="P51" s="33">
        <v>8.0</v>
      </c>
      <c r="Q51" s="33">
        <v>8.0</v>
      </c>
      <c r="R51" s="35">
        <f t="shared" si="49"/>
        <v>0.5</v>
      </c>
      <c r="S51" s="32" t="s">
        <v>32</v>
      </c>
      <c r="T51" s="33">
        <v>7.0</v>
      </c>
      <c r="U51" s="33">
        <v>13.0</v>
      </c>
      <c r="V51" s="35">
        <f t="shared" si="50"/>
        <v>0.35</v>
      </c>
      <c r="X51" s="44"/>
      <c r="Y51" s="44"/>
      <c r="Z51" s="44"/>
      <c r="AA51" s="44"/>
      <c r="AB51" s="44"/>
    </row>
    <row r="52">
      <c r="C52" s="37" t="s">
        <v>33</v>
      </c>
      <c r="F52" s="38">
        <f>AVERAGE(E48:E51)</f>
        <v>5.25</v>
      </c>
      <c r="G52" s="37" t="s">
        <v>33</v>
      </c>
      <c r="J52" s="38">
        <f>AVERAGE(I48:I51)</f>
        <v>3.75</v>
      </c>
      <c r="K52" s="37" t="s">
        <v>33</v>
      </c>
      <c r="N52" s="38">
        <f>AVERAGE(N48:N51)</f>
        <v>0.6771708683</v>
      </c>
      <c r="O52" s="37" t="s">
        <v>33</v>
      </c>
      <c r="R52" s="38">
        <f>AVERAGE(R48:R51)</f>
        <v>0.4465719064</v>
      </c>
      <c r="S52" s="37" t="s">
        <v>33</v>
      </c>
      <c r="V52" s="38">
        <f>AVERAGE(U48:U51)</f>
        <v>12</v>
      </c>
      <c r="X52" s="44"/>
      <c r="Y52" s="44"/>
      <c r="Z52" s="44"/>
      <c r="AA52" s="44"/>
      <c r="AB52" s="44"/>
    </row>
    <row r="53">
      <c r="A53" s="24" t="s">
        <v>43</v>
      </c>
      <c r="B53" s="29" t="s">
        <v>12</v>
      </c>
      <c r="C53" s="25" t="s">
        <v>13</v>
      </c>
      <c r="D53" s="30">
        <v>8.0</v>
      </c>
      <c r="E53" s="30">
        <v>16.0</v>
      </c>
      <c r="F53" s="31">
        <f t="shared" ref="F53:F56" si="51">DIVIDE(D53,SUM(D53:E53))</f>
        <v>0.3333333333</v>
      </c>
      <c r="G53" s="32" t="s">
        <v>14</v>
      </c>
      <c r="H53" s="33">
        <v>6.0</v>
      </c>
      <c r="I53" s="33">
        <v>1.0</v>
      </c>
      <c r="J53" s="31">
        <f t="shared" ref="J53:J56" si="52">DIVIDE(H53,SUM(H53:I53))</f>
        <v>0.8571428571</v>
      </c>
      <c r="K53" s="32" t="s">
        <v>15</v>
      </c>
      <c r="L53" s="33">
        <v>0.0</v>
      </c>
      <c r="M53" s="33">
        <v>0.0</v>
      </c>
      <c r="N53" s="42">
        <v>0.0</v>
      </c>
      <c r="O53" s="32" t="s">
        <v>16</v>
      </c>
      <c r="P53" s="33">
        <v>3.0</v>
      </c>
      <c r="Q53" s="33">
        <v>0.0</v>
      </c>
      <c r="R53" s="35">
        <f t="shared" ref="R53:R56" si="53">DIVIDE(P53,SUM(P53:Q53))</f>
        <v>1</v>
      </c>
      <c r="S53" s="32" t="s">
        <v>17</v>
      </c>
      <c r="T53" s="33">
        <v>5.0</v>
      </c>
      <c r="U53" s="33">
        <v>3.0</v>
      </c>
      <c r="V53" s="35">
        <f t="shared" ref="V53:V56" si="54">DIVIDE(T53,SUM(T53:U53))</f>
        <v>0.625</v>
      </c>
      <c r="X53" s="44">
        <f>AVERAGE(M53:M54)</f>
        <v>3</v>
      </c>
      <c r="Y53" s="44"/>
      <c r="Z53" s="44"/>
      <c r="AA53" s="44"/>
      <c r="AB53" s="44">
        <f>AVERAGE(Q53:Q54)</f>
        <v>1</v>
      </c>
    </row>
    <row r="54">
      <c r="C54" s="25" t="s">
        <v>18</v>
      </c>
      <c r="D54" s="30">
        <v>8.0</v>
      </c>
      <c r="E54" s="30">
        <v>3.0</v>
      </c>
      <c r="F54" s="31">
        <f t="shared" si="51"/>
        <v>0.7272727273</v>
      </c>
      <c r="G54" s="32" t="s">
        <v>19</v>
      </c>
      <c r="H54" s="41">
        <v>6.0</v>
      </c>
      <c r="I54" s="33">
        <v>14.0</v>
      </c>
      <c r="J54" s="31">
        <f t="shared" si="52"/>
        <v>0.3</v>
      </c>
      <c r="K54" s="32" t="s">
        <v>20</v>
      </c>
      <c r="L54" s="33">
        <v>8.0</v>
      </c>
      <c r="M54" s="33">
        <v>6.0</v>
      </c>
      <c r="N54" s="34">
        <f t="shared" ref="N54:N56" si="55">DIVIDE(L54,SUM(L54:M54))</f>
        <v>0.5714285714</v>
      </c>
      <c r="O54" s="32" t="s">
        <v>21</v>
      </c>
      <c r="P54" s="33">
        <v>6.0</v>
      </c>
      <c r="Q54" s="33">
        <v>2.0</v>
      </c>
      <c r="R54" s="35">
        <f t="shared" si="53"/>
        <v>0.75</v>
      </c>
      <c r="S54" s="32" t="s">
        <v>22</v>
      </c>
      <c r="T54" s="33">
        <v>4.0</v>
      </c>
      <c r="U54" s="33">
        <v>0.0</v>
      </c>
      <c r="V54" s="35">
        <f t="shared" si="54"/>
        <v>1</v>
      </c>
      <c r="X54" s="44"/>
      <c r="Y54" s="44"/>
      <c r="Z54" s="44"/>
      <c r="AA54" s="44"/>
      <c r="AB54" s="44"/>
    </row>
    <row r="55">
      <c r="C55" s="25" t="s">
        <v>23</v>
      </c>
      <c r="D55" s="30">
        <v>8.0</v>
      </c>
      <c r="E55" s="30">
        <v>9.0</v>
      </c>
      <c r="F55" s="31">
        <f t="shared" si="51"/>
        <v>0.4705882353</v>
      </c>
      <c r="G55" s="32" t="s">
        <v>24</v>
      </c>
      <c r="H55" s="33">
        <v>3.0</v>
      </c>
      <c r="I55" s="33">
        <v>1.0</v>
      </c>
      <c r="J55" s="31">
        <f t="shared" si="52"/>
        <v>0.75</v>
      </c>
      <c r="K55" s="32" t="s">
        <v>25</v>
      </c>
      <c r="L55" s="33">
        <v>7.0</v>
      </c>
      <c r="M55" s="33">
        <v>22.0</v>
      </c>
      <c r="N55" s="34">
        <f t="shared" si="55"/>
        <v>0.2413793103</v>
      </c>
      <c r="O55" s="32" t="s">
        <v>26</v>
      </c>
      <c r="P55" s="33">
        <v>7.0</v>
      </c>
      <c r="Q55" s="33">
        <v>9.0</v>
      </c>
      <c r="R55" s="35">
        <f t="shared" si="53"/>
        <v>0.4375</v>
      </c>
      <c r="S55" s="32" t="s">
        <v>27</v>
      </c>
      <c r="T55" s="33">
        <v>8.0</v>
      </c>
      <c r="U55" s="33">
        <v>9.0</v>
      </c>
      <c r="V55" s="35">
        <f t="shared" si="54"/>
        <v>0.4705882353</v>
      </c>
      <c r="X55" s="44">
        <f>AVERAGE(M55:M56)</f>
        <v>13</v>
      </c>
      <c r="Y55" s="44"/>
      <c r="Z55" s="44"/>
      <c r="AA55" s="44"/>
      <c r="AB55" s="44">
        <f>AVERAGE(Q55:Q56)</f>
        <v>9.5</v>
      </c>
    </row>
    <row r="56">
      <c r="C56" s="25" t="s">
        <v>28</v>
      </c>
      <c r="D56" s="30">
        <v>7.0</v>
      </c>
      <c r="E56" s="30">
        <v>8.0</v>
      </c>
      <c r="F56" s="31">
        <f t="shared" si="51"/>
        <v>0.4666666667</v>
      </c>
      <c r="G56" s="32" t="s">
        <v>29</v>
      </c>
      <c r="H56" s="33">
        <v>7.0</v>
      </c>
      <c r="I56" s="33">
        <v>7.0</v>
      </c>
      <c r="J56" s="31">
        <f t="shared" si="52"/>
        <v>0.5</v>
      </c>
      <c r="K56" s="32" t="s">
        <v>30</v>
      </c>
      <c r="L56" s="33">
        <v>8.0</v>
      </c>
      <c r="M56" s="33">
        <v>4.0</v>
      </c>
      <c r="N56" s="34">
        <f t="shared" si="55"/>
        <v>0.6666666667</v>
      </c>
      <c r="O56" s="32" t="s">
        <v>31</v>
      </c>
      <c r="P56" s="33">
        <v>8.0</v>
      </c>
      <c r="Q56" s="33">
        <v>10.0</v>
      </c>
      <c r="R56" s="35">
        <f t="shared" si="53"/>
        <v>0.4444444444</v>
      </c>
      <c r="S56" s="32" t="s">
        <v>32</v>
      </c>
      <c r="T56" s="33">
        <v>7.0</v>
      </c>
      <c r="U56" s="33">
        <v>7.0</v>
      </c>
      <c r="V56" s="35">
        <f t="shared" si="54"/>
        <v>0.5</v>
      </c>
      <c r="X56" s="44"/>
      <c r="Y56" s="44"/>
      <c r="Z56" s="44"/>
      <c r="AA56" s="44"/>
      <c r="AB56" s="44"/>
    </row>
    <row r="57">
      <c r="C57" s="37" t="s">
        <v>33</v>
      </c>
      <c r="F57" s="38">
        <f>AVERAGE(E53:E56)</f>
        <v>9</v>
      </c>
      <c r="G57" s="37" t="s">
        <v>33</v>
      </c>
      <c r="J57" s="38">
        <f>AVERAGE(I53:I56)</f>
        <v>5.75</v>
      </c>
      <c r="K57" s="37" t="s">
        <v>33</v>
      </c>
      <c r="N57" s="38">
        <f>AVERAGE(N53:N56)</f>
        <v>0.3698686371</v>
      </c>
      <c r="O57" s="37" t="s">
        <v>33</v>
      </c>
      <c r="R57" s="38">
        <f>AVERAGE(R53:R56)</f>
        <v>0.6579861111</v>
      </c>
      <c r="S57" s="37" t="s">
        <v>33</v>
      </c>
      <c r="V57" s="38">
        <f>AVERAGE(U53:U56)</f>
        <v>4.75</v>
      </c>
      <c r="X57" s="44"/>
      <c r="Y57" s="44"/>
      <c r="Z57" s="44"/>
      <c r="AA57" s="44"/>
      <c r="AB57" s="44"/>
    </row>
    <row r="58">
      <c r="A58" s="24" t="s">
        <v>44</v>
      </c>
      <c r="B58" s="29" t="s">
        <v>12</v>
      </c>
      <c r="C58" s="25" t="s">
        <v>13</v>
      </c>
      <c r="D58" s="30">
        <v>8.0</v>
      </c>
      <c r="E58" s="30">
        <v>6.0</v>
      </c>
      <c r="F58" s="31">
        <f t="shared" ref="F58:F61" si="56">DIVIDE(D58,SUM(D58:E58))</f>
        <v>0.5714285714</v>
      </c>
      <c r="G58" s="32" t="s">
        <v>14</v>
      </c>
      <c r="H58" s="33">
        <v>6.0</v>
      </c>
      <c r="I58" s="33">
        <v>8.0</v>
      </c>
      <c r="J58" s="31">
        <f t="shared" ref="J58:J61" si="57">DIVIDE(H58,SUM(H58:I58))</f>
        <v>0.4285714286</v>
      </c>
      <c r="K58" s="32" t="s">
        <v>15</v>
      </c>
      <c r="L58" s="39"/>
      <c r="M58" s="39"/>
      <c r="N58" s="34" t="str">
        <f t="shared" ref="N58:N61" si="58">DIVIDE(L58,SUM(L58:M58))</f>
        <v>#DIV/0!</v>
      </c>
      <c r="O58" s="32" t="s">
        <v>16</v>
      </c>
      <c r="P58" s="39"/>
      <c r="Q58" s="39"/>
      <c r="R58" s="35" t="str">
        <f t="shared" ref="R58:R61" si="59">DIVIDE(P58,SUM(P58:Q58))</f>
        <v>#DIV/0!</v>
      </c>
      <c r="S58" s="32" t="s">
        <v>17</v>
      </c>
      <c r="T58" s="33">
        <v>7.0</v>
      </c>
      <c r="U58" s="33">
        <v>10.0</v>
      </c>
      <c r="V58" s="35">
        <f t="shared" ref="V58:V61" si="60">DIVIDE(T58,SUM(T58:U58))</f>
        <v>0.4117647059</v>
      </c>
      <c r="X58" s="44" t="str">
        <f>AVERAGE(N58:N59)</f>
        <v>#DIV/0!</v>
      </c>
      <c r="Y58" s="44"/>
      <c r="Z58" s="44"/>
      <c r="AA58" s="44"/>
      <c r="AB58" s="44" t="str">
        <f>AVERAGE(R58:R59)</f>
        <v>#DIV/0!</v>
      </c>
    </row>
    <row r="59">
      <c r="C59" s="25" t="s">
        <v>18</v>
      </c>
      <c r="D59" s="30">
        <v>5.0</v>
      </c>
      <c r="E59" s="30">
        <v>2.0</v>
      </c>
      <c r="F59" s="31">
        <f t="shared" si="56"/>
        <v>0.7142857143</v>
      </c>
      <c r="G59" s="32" t="s">
        <v>19</v>
      </c>
      <c r="H59" s="33">
        <v>7.0</v>
      </c>
      <c r="I59" s="33">
        <v>19.0</v>
      </c>
      <c r="J59" s="31">
        <f t="shared" si="57"/>
        <v>0.2692307692</v>
      </c>
      <c r="K59" s="32" t="s">
        <v>20</v>
      </c>
      <c r="L59" s="39"/>
      <c r="M59" s="39"/>
      <c r="N59" s="34" t="str">
        <f t="shared" si="58"/>
        <v>#DIV/0!</v>
      </c>
      <c r="O59" s="32" t="s">
        <v>21</v>
      </c>
      <c r="P59" s="39"/>
      <c r="Q59" s="39"/>
      <c r="R59" s="35" t="str">
        <f t="shared" si="59"/>
        <v>#DIV/0!</v>
      </c>
      <c r="S59" s="32" t="s">
        <v>22</v>
      </c>
      <c r="T59" s="33">
        <v>8.0</v>
      </c>
      <c r="U59" s="33">
        <v>2.0</v>
      </c>
      <c r="V59" s="35">
        <f t="shared" si="60"/>
        <v>0.8</v>
      </c>
      <c r="X59" s="44"/>
      <c r="Y59" s="44"/>
      <c r="Z59" s="44"/>
      <c r="AA59" s="44"/>
      <c r="AB59" s="44"/>
    </row>
    <row r="60">
      <c r="C60" s="25" t="s">
        <v>23</v>
      </c>
      <c r="D60" s="30">
        <v>8.0</v>
      </c>
      <c r="E60" s="30">
        <v>4.0</v>
      </c>
      <c r="F60" s="31">
        <f t="shared" si="56"/>
        <v>0.6666666667</v>
      </c>
      <c r="G60" s="32" t="s">
        <v>24</v>
      </c>
      <c r="H60" s="33">
        <v>4.0</v>
      </c>
      <c r="I60" s="33">
        <v>1.0</v>
      </c>
      <c r="J60" s="31">
        <f t="shared" si="57"/>
        <v>0.8</v>
      </c>
      <c r="K60" s="32" t="s">
        <v>25</v>
      </c>
      <c r="L60" s="33">
        <v>8.0</v>
      </c>
      <c r="M60" s="33">
        <v>4.0</v>
      </c>
      <c r="N60" s="34">
        <f t="shared" si="58"/>
        <v>0.6666666667</v>
      </c>
      <c r="O60" s="32" t="s">
        <v>26</v>
      </c>
      <c r="P60" s="39"/>
      <c r="Q60" s="39"/>
      <c r="R60" s="35" t="str">
        <f t="shared" si="59"/>
        <v>#DIV/0!</v>
      </c>
      <c r="S60" s="32" t="s">
        <v>27</v>
      </c>
      <c r="T60" s="33">
        <v>7.0</v>
      </c>
      <c r="U60" s="33">
        <v>18.0</v>
      </c>
      <c r="V60" s="35">
        <f t="shared" si="60"/>
        <v>0.28</v>
      </c>
      <c r="X60" s="44">
        <f>AVERAGE(M60:M61)</f>
        <v>2.5</v>
      </c>
      <c r="Y60" s="44"/>
      <c r="Z60" s="44"/>
      <c r="AA60" s="44"/>
      <c r="AB60" s="44">
        <f>AVERAGE(Q60:Q61)</f>
        <v>5</v>
      </c>
    </row>
    <row r="61">
      <c r="C61" s="25" t="s">
        <v>28</v>
      </c>
      <c r="D61" s="30">
        <v>8.0</v>
      </c>
      <c r="E61" s="30">
        <v>9.0</v>
      </c>
      <c r="F61" s="31">
        <f t="shared" si="56"/>
        <v>0.4705882353</v>
      </c>
      <c r="G61" s="32" t="s">
        <v>29</v>
      </c>
      <c r="H61" s="33">
        <v>8.0</v>
      </c>
      <c r="I61" s="33">
        <v>5.0</v>
      </c>
      <c r="J61" s="31">
        <f t="shared" si="57"/>
        <v>0.6153846154</v>
      </c>
      <c r="K61" s="32" t="s">
        <v>30</v>
      </c>
      <c r="L61" s="33">
        <v>8.0</v>
      </c>
      <c r="M61" s="33">
        <v>1.0</v>
      </c>
      <c r="N61" s="34">
        <f t="shared" si="58"/>
        <v>0.8888888889</v>
      </c>
      <c r="O61" s="32" t="s">
        <v>31</v>
      </c>
      <c r="P61" s="33">
        <v>8.0</v>
      </c>
      <c r="Q61" s="33">
        <v>5.0</v>
      </c>
      <c r="R61" s="35">
        <f t="shared" si="59"/>
        <v>0.6153846154</v>
      </c>
      <c r="S61" s="32" t="s">
        <v>32</v>
      </c>
      <c r="T61" s="33">
        <v>8.0</v>
      </c>
      <c r="U61" s="33">
        <v>8.0</v>
      </c>
      <c r="V61" s="35">
        <f t="shared" si="60"/>
        <v>0.5</v>
      </c>
      <c r="X61" s="44"/>
      <c r="Y61" s="44"/>
      <c r="Z61" s="44"/>
      <c r="AA61" s="44"/>
      <c r="AB61" s="44"/>
    </row>
    <row r="62">
      <c r="C62" s="37" t="s">
        <v>33</v>
      </c>
      <c r="F62" s="38">
        <f>AVERAGE(E58:E61)</f>
        <v>5.25</v>
      </c>
      <c r="G62" s="37" t="s">
        <v>33</v>
      </c>
      <c r="J62" s="38">
        <f>AVERAGE(I58:I61)</f>
        <v>8.25</v>
      </c>
      <c r="K62" s="37" t="s">
        <v>33</v>
      </c>
      <c r="N62" s="38" t="str">
        <f>AVERAGE(N58:N61)</f>
        <v>#DIV/0!</v>
      </c>
      <c r="O62" s="37" t="s">
        <v>33</v>
      </c>
      <c r="R62" s="38" t="str">
        <f>AVERAGE(R58:R61)</f>
        <v>#DIV/0!</v>
      </c>
      <c r="S62" s="37" t="s">
        <v>33</v>
      </c>
      <c r="V62" s="38">
        <f>AVERAGE(U58:U61)</f>
        <v>9.5</v>
      </c>
      <c r="X62" s="44"/>
      <c r="Y62" s="44"/>
      <c r="Z62" s="44"/>
      <c r="AA62" s="44"/>
      <c r="AB62" s="44"/>
    </row>
    <row r="63">
      <c r="A63" s="24" t="s">
        <v>45</v>
      </c>
      <c r="B63" s="29" t="s">
        <v>12</v>
      </c>
      <c r="C63" s="25" t="s">
        <v>13</v>
      </c>
      <c r="D63" s="30">
        <v>8.0</v>
      </c>
      <c r="E63" s="30">
        <v>3.0</v>
      </c>
      <c r="F63" s="31">
        <f t="shared" ref="F63:F66" si="61">DIVIDE(D63,SUM(D63:E63))</f>
        <v>0.7272727273</v>
      </c>
      <c r="G63" s="32" t="s">
        <v>14</v>
      </c>
      <c r="H63" s="33">
        <v>8.0</v>
      </c>
      <c r="I63" s="33">
        <v>2.0</v>
      </c>
      <c r="J63" s="31">
        <f t="shared" ref="J63:J66" si="62">DIVIDE(H63,SUM(H63:I63))</f>
        <v>0.8</v>
      </c>
      <c r="K63" s="32" t="s">
        <v>15</v>
      </c>
      <c r="L63" s="39"/>
      <c r="M63" s="39"/>
      <c r="N63" s="35" t="str">
        <f t="shared" ref="N63:N66" si="63">DIVIDE(MINUS(L63,M63),SUM(L63:M63))</f>
        <v>#DIV/0!</v>
      </c>
      <c r="O63" s="32" t="s">
        <v>16</v>
      </c>
      <c r="P63" s="39"/>
      <c r="Q63" s="39"/>
      <c r="R63" s="35" t="str">
        <f t="shared" ref="R63:R66" si="64">DIVIDE(P63,SUM(P63:Q63))</f>
        <v>#DIV/0!</v>
      </c>
      <c r="S63" s="32" t="s">
        <v>17</v>
      </c>
      <c r="T63" s="33">
        <v>7.0</v>
      </c>
      <c r="U63" s="33">
        <v>8.0</v>
      </c>
      <c r="V63" s="35">
        <f t="shared" ref="V63:V66" si="65">DIVIDE(T63,SUM(T63:U63))</f>
        <v>0.4666666667</v>
      </c>
      <c r="X63" s="44"/>
      <c r="Y63" s="44"/>
      <c r="Z63" s="44"/>
      <c r="AA63" s="44"/>
      <c r="AB63" s="44"/>
    </row>
    <row r="64">
      <c r="C64" s="25" t="s">
        <v>18</v>
      </c>
      <c r="D64" s="30">
        <v>8.0</v>
      </c>
      <c r="E64" s="30">
        <v>5.0</v>
      </c>
      <c r="F64" s="31">
        <f t="shared" si="61"/>
        <v>0.6153846154</v>
      </c>
      <c r="G64" s="32" t="s">
        <v>19</v>
      </c>
      <c r="H64" s="33">
        <v>8.0</v>
      </c>
      <c r="I64" s="33">
        <v>3.0</v>
      </c>
      <c r="J64" s="31">
        <f t="shared" si="62"/>
        <v>0.7272727273</v>
      </c>
      <c r="K64" s="32" t="s">
        <v>20</v>
      </c>
      <c r="L64" s="39"/>
      <c r="M64" s="39"/>
      <c r="N64" s="35" t="str">
        <f t="shared" si="63"/>
        <v>#DIV/0!</v>
      </c>
      <c r="O64" s="32" t="s">
        <v>21</v>
      </c>
      <c r="P64" s="39"/>
      <c r="Q64" s="39"/>
      <c r="R64" s="35" t="str">
        <f t="shared" si="64"/>
        <v>#DIV/0!</v>
      </c>
      <c r="S64" s="32" t="s">
        <v>22</v>
      </c>
      <c r="T64" s="33">
        <v>8.0</v>
      </c>
      <c r="U64" s="33">
        <v>7.0</v>
      </c>
      <c r="V64" s="35">
        <f t="shared" si="65"/>
        <v>0.5333333333</v>
      </c>
      <c r="X64" s="44"/>
      <c r="Y64" s="44"/>
      <c r="Z64" s="44"/>
      <c r="AA64" s="44"/>
      <c r="AB64" s="44"/>
    </row>
    <row r="65">
      <c r="C65" s="25" t="s">
        <v>23</v>
      </c>
      <c r="D65" s="30">
        <v>8.0</v>
      </c>
      <c r="E65" s="30">
        <v>6.0</v>
      </c>
      <c r="F65" s="31">
        <f t="shared" si="61"/>
        <v>0.5714285714</v>
      </c>
      <c r="G65" s="32" t="s">
        <v>24</v>
      </c>
      <c r="H65" s="33">
        <v>5.0</v>
      </c>
      <c r="I65" s="33">
        <v>3.0</v>
      </c>
      <c r="J65" s="31">
        <f t="shared" si="62"/>
        <v>0.625</v>
      </c>
      <c r="K65" s="32" t="s">
        <v>25</v>
      </c>
      <c r="L65" s="39"/>
      <c r="M65" s="39"/>
      <c r="N65" s="35" t="str">
        <f t="shared" si="63"/>
        <v>#DIV/0!</v>
      </c>
      <c r="O65" s="32" t="s">
        <v>26</v>
      </c>
      <c r="P65" s="39"/>
      <c r="Q65" s="39"/>
      <c r="R65" s="35" t="str">
        <f t="shared" si="64"/>
        <v>#DIV/0!</v>
      </c>
      <c r="S65" s="32" t="s">
        <v>27</v>
      </c>
      <c r="T65" s="33">
        <v>7.0</v>
      </c>
      <c r="U65" s="33">
        <v>16.0</v>
      </c>
      <c r="V65" s="35">
        <f t="shared" si="65"/>
        <v>0.3043478261</v>
      </c>
      <c r="X65" s="44"/>
      <c r="Y65" s="44"/>
      <c r="Z65" s="44"/>
      <c r="AA65" s="44"/>
      <c r="AB65" s="44"/>
    </row>
    <row r="66">
      <c r="C66" s="25" t="s">
        <v>28</v>
      </c>
      <c r="D66" s="30">
        <v>8.0</v>
      </c>
      <c r="E66" s="30">
        <v>7.0</v>
      </c>
      <c r="F66" s="31">
        <f t="shared" si="61"/>
        <v>0.5333333333</v>
      </c>
      <c r="G66" s="32" t="s">
        <v>29</v>
      </c>
      <c r="H66" s="33">
        <v>8.0</v>
      </c>
      <c r="I66" s="33">
        <v>9.0</v>
      </c>
      <c r="J66" s="31">
        <f t="shared" si="62"/>
        <v>0.4705882353</v>
      </c>
      <c r="K66" s="32" t="s">
        <v>30</v>
      </c>
      <c r="L66" s="39"/>
      <c r="M66" s="39"/>
      <c r="N66" s="35" t="str">
        <f t="shared" si="63"/>
        <v>#DIV/0!</v>
      </c>
      <c r="O66" s="32" t="s">
        <v>31</v>
      </c>
      <c r="P66" s="39"/>
      <c r="Q66" s="39"/>
      <c r="R66" s="35" t="str">
        <f t="shared" si="64"/>
        <v>#DIV/0!</v>
      </c>
      <c r="S66" s="32" t="s">
        <v>32</v>
      </c>
      <c r="T66" s="33">
        <v>8.0</v>
      </c>
      <c r="U66" s="33">
        <v>5.0</v>
      </c>
      <c r="V66" s="35">
        <f t="shared" si="65"/>
        <v>0.6153846154</v>
      </c>
      <c r="X66" s="44"/>
      <c r="Y66" s="44"/>
      <c r="Z66" s="44"/>
      <c r="AA66" s="44"/>
      <c r="AB66" s="44"/>
    </row>
    <row r="67">
      <c r="C67" s="37" t="s">
        <v>33</v>
      </c>
      <c r="F67" s="38">
        <f>AVERAGE(E63:E66)</f>
        <v>5.25</v>
      </c>
      <c r="G67" s="37" t="s">
        <v>33</v>
      </c>
      <c r="J67" s="38">
        <f>AVERAGE(I63:I66)</f>
        <v>4.25</v>
      </c>
      <c r="K67" s="37" t="s">
        <v>33</v>
      </c>
      <c r="N67" s="38" t="str">
        <f>AVERAGE(N63:N66)</f>
        <v>#DIV/0!</v>
      </c>
      <c r="O67" s="37" t="s">
        <v>33</v>
      </c>
      <c r="R67" s="38" t="str">
        <f>AVERAGE(R63:R66)</f>
        <v>#DIV/0!</v>
      </c>
      <c r="S67" s="37" t="s">
        <v>33</v>
      </c>
      <c r="V67" s="38">
        <f>AVERAGE(U63:U66)</f>
        <v>9</v>
      </c>
      <c r="X67" s="44"/>
      <c r="Y67" s="44"/>
      <c r="Z67" s="44"/>
      <c r="AA67" s="44"/>
      <c r="AB67" s="44"/>
    </row>
    <row r="68">
      <c r="A68" s="24" t="s">
        <v>46</v>
      </c>
      <c r="B68" s="29" t="s">
        <v>12</v>
      </c>
      <c r="C68" s="25" t="s">
        <v>13</v>
      </c>
      <c r="D68" s="30">
        <v>8.0</v>
      </c>
      <c r="E68" s="30">
        <v>10.0</v>
      </c>
      <c r="F68" s="31">
        <f t="shared" ref="F68:F71" si="66">DIVIDE(D68,SUM(D68:E68))</f>
        <v>0.4444444444</v>
      </c>
      <c r="G68" s="32" t="s">
        <v>14</v>
      </c>
      <c r="H68" s="33">
        <v>7.0</v>
      </c>
      <c r="I68" s="33">
        <v>3.0</v>
      </c>
      <c r="J68" s="31">
        <f t="shared" ref="J68:J71" si="67">DIVIDE(H68,SUM(H68:I68))</f>
        <v>0.7</v>
      </c>
      <c r="K68" s="32" t="s">
        <v>15</v>
      </c>
      <c r="L68" s="39"/>
      <c r="M68" s="39"/>
      <c r="N68" s="35" t="str">
        <f t="shared" ref="N68:N71" si="68">DIVIDE(MINUS(L68,M68),SUM(L68:M68))</f>
        <v>#DIV/0!</v>
      </c>
      <c r="O68" s="32" t="s">
        <v>16</v>
      </c>
      <c r="P68" s="39"/>
      <c r="Q68" s="39"/>
      <c r="R68" s="35" t="str">
        <f t="shared" ref="R68:R71" si="69">DIVIDE(P68,SUM(P68:Q68))</f>
        <v>#DIV/0!</v>
      </c>
      <c r="S68" s="32" t="s">
        <v>17</v>
      </c>
      <c r="T68" s="33">
        <v>8.0</v>
      </c>
      <c r="U68" s="33">
        <v>4.0</v>
      </c>
      <c r="V68" s="35">
        <f t="shared" ref="V68:V71" si="70">DIVIDE(T68,SUM(T68:U68))</f>
        <v>0.6666666667</v>
      </c>
      <c r="X68" s="44"/>
      <c r="Y68" s="44"/>
      <c r="Z68" s="44"/>
      <c r="AA68" s="44"/>
      <c r="AB68" s="44"/>
    </row>
    <row r="69">
      <c r="C69" s="25" t="s">
        <v>18</v>
      </c>
      <c r="D69" s="30">
        <v>8.0</v>
      </c>
      <c r="E69" s="30">
        <v>2.0</v>
      </c>
      <c r="F69" s="31">
        <f t="shared" si="66"/>
        <v>0.8</v>
      </c>
      <c r="G69" s="32" t="s">
        <v>19</v>
      </c>
      <c r="H69" s="33">
        <v>8.0</v>
      </c>
      <c r="I69" s="33">
        <v>7.0</v>
      </c>
      <c r="J69" s="31">
        <f t="shared" si="67"/>
        <v>0.5333333333</v>
      </c>
      <c r="K69" s="32" t="s">
        <v>20</v>
      </c>
      <c r="L69" s="39"/>
      <c r="M69" s="39"/>
      <c r="N69" s="35" t="str">
        <f t="shared" si="68"/>
        <v>#DIV/0!</v>
      </c>
      <c r="O69" s="32" t="s">
        <v>21</v>
      </c>
      <c r="P69" s="39"/>
      <c r="Q69" s="39"/>
      <c r="R69" s="35" t="str">
        <f t="shared" si="69"/>
        <v>#DIV/0!</v>
      </c>
      <c r="S69" s="32" t="s">
        <v>22</v>
      </c>
      <c r="T69" s="33">
        <v>8.0</v>
      </c>
      <c r="U69" s="33">
        <v>4.0</v>
      </c>
      <c r="V69" s="35">
        <f t="shared" si="70"/>
        <v>0.6666666667</v>
      </c>
      <c r="X69" s="44"/>
      <c r="Y69" s="44"/>
      <c r="Z69" s="44"/>
      <c r="AA69" s="44"/>
      <c r="AB69" s="44"/>
    </row>
    <row r="70">
      <c r="C70" s="25" t="s">
        <v>23</v>
      </c>
      <c r="D70" s="30">
        <v>8.0</v>
      </c>
      <c r="E70" s="30">
        <v>6.0</v>
      </c>
      <c r="F70" s="31">
        <f t="shared" si="66"/>
        <v>0.5714285714</v>
      </c>
      <c r="G70" s="32" t="s">
        <v>24</v>
      </c>
      <c r="H70" s="33">
        <v>5.0</v>
      </c>
      <c r="I70" s="33">
        <v>3.0</v>
      </c>
      <c r="J70" s="31">
        <f t="shared" si="67"/>
        <v>0.625</v>
      </c>
      <c r="K70" s="32" t="s">
        <v>25</v>
      </c>
      <c r="L70" s="39"/>
      <c r="M70" s="39"/>
      <c r="N70" s="35" t="str">
        <f t="shared" si="68"/>
        <v>#DIV/0!</v>
      </c>
      <c r="O70" s="32" t="s">
        <v>26</v>
      </c>
      <c r="P70" s="39"/>
      <c r="Q70" s="39"/>
      <c r="R70" s="35" t="str">
        <f t="shared" si="69"/>
        <v>#DIV/0!</v>
      </c>
      <c r="S70" s="32" t="s">
        <v>27</v>
      </c>
      <c r="T70" s="33">
        <v>8.0</v>
      </c>
      <c r="U70" s="33">
        <v>10.0</v>
      </c>
      <c r="V70" s="35">
        <f t="shared" si="70"/>
        <v>0.4444444444</v>
      </c>
      <c r="X70" s="44"/>
      <c r="Y70" s="44"/>
      <c r="Z70" s="44"/>
      <c r="AA70" s="44"/>
      <c r="AB70" s="44"/>
    </row>
    <row r="71">
      <c r="C71" s="25" t="s">
        <v>28</v>
      </c>
      <c r="D71" s="30">
        <v>8.0</v>
      </c>
      <c r="E71" s="30">
        <v>4.0</v>
      </c>
      <c r="F71" s="31">
        <f t="shared" si="66"/>
        <v>0.6666666667</v>
      </c>
      <c r="G71" s="32" t="s">
        <v>29</v>
      </c>
      <c r="H71" s="33">
        <v>8.0</v>
      </c>
      <c r="I71" s="33">
        <v>7.0</v>
      </c>
      <c r="J71" s="31">
        <f t="shared" si="67"/>
        <v>0.5333333333</v>
      </c>
      <c r="K71" s="32" t="s">
        <v>30</v>
      </c>
      <c r="L71" s="39"/>
      <c r="M71" s="39"/>
      <c r="N71" s="35" t="str">
        <f t="shared" si="68"/>
        <v>#DIV/0!</v>
      </c>
      <c r="O71" s="32" t="s">
        <v>31</v>
      </c>
      <c r="P71" s="39"/>
      <c r="Q71" s="39"/>
      <c r="R71" s="35" t="str">
        <f t="shared" si="69"/>
        <v>#DIV/0!</v>
      </c>
      <c r="S71" s="32" t="s">
        <v>32</v>
      </c>
      <c r="T71" s="33">
        <v>6.0</v>
      </c>
      <c r="U71" s="33">
        <v>7.0</v>
      </c>
      <c r="V71" s="35">
        <f t="shared" si="70"/>
        <v>0.4615384615</v>
      </c>
      <c r="X71" s="44"/>
      <c r="Y71" s="44"/>
      <c r="Z71" s="44"/>
      <c r="AA71" s="44"/>
      <c r="AB71" s="44"/>
    </row>
    <row r="72">
      <c r="C72" s="37" t="s">
        <v>33</v>
      </c>
      <c r="F72" s="38">
        <f>AVERAGE(E68:E71)</f>
        <v>5.5</v>
      </c>
      <c r="G72" s="37" t="s">
        <v>33</v>
      </c>
      <c r="J72" s="38">
        <f>AVERAGE(I68:I71)</f>
        <v>5</v>
      </c>
      <c r="K72" s="37" t="s">
        <v>33</v>
      </c>
      <c r="N72" s="38" t="str">
        <f>AVERAGE(N68:N71)</f>
        <v>#DIV/0!</v>
      </c>
      <c r="O72" s="37" t="s">
        <v>33</v>
      </c>
      <c r="R72" s="38" t="str">
        <f>AVERAGE(R68:R71)</f>
        <v>#DIV/0!</v>
      </c>
      <c r="S72" s="37" t="s">
        <v>33</v>
      </c>
      <c r="V72" s="38">
        <f>AVERAGE(U68:U71)</f>
        <v>6.25</v>
      </c>
      <c r="X72" s="44"/>
      <c r="Y72" s="44"/>
      <c r="Z72" s="44"/>
      <c r="AA72" s="44"/>
      <c r="AB72" s="44"/>
    </row>
    <row r="73">
      <c r="A73" s="5"/>
      <c r="B73" s="8"/>
      <c r="C73" s="20"/>
      <c r="D73" s="43"/>
      <c r="E73" s="43"/>
      <c r="F73" s="21"/>
      <c r="G73" s="20"/>
      <c r="H73" s="43"/>
      <c r="I73" s="43"/>
      <c r="J73" s="21"/>
      <c r="K73" s="20"/>
      <c r="L73" s="43"/>
      <c r="M73" s="43"/>
      <c r="N73" s="21"/>
      <c r="O73" s="20"/>
      <c r="P73" s="43"/>
      <c r="Q73" s="43"/>
      <c r="R73" s="21"/>
      <c r="S73" s="20"/>
      <c r="T73" s="43"/>
      <c r="U73" s="43"/>
      <c r="V73" s="21"/>
      <c r="X73" s="44"/>
      <c r="Y73" s="44"/>
      <c r="Z73" s="44"/>
      <c r="AA73" s="44"/>
      <c r="AB73" s="44"/>
    </row>
    <row r="74">
      <c r="A74" s="5"/>
      <c r="B74" s="8"/>
      <c r="C74" s="20"/>
      <c r="D74" s="43"/>
      <c r="E74" s="43"/>
      <c r="F74" s="21"/>
      <c r="G74" s="20"/>
      <c r="H74" s="43"/>
      <c r="I74" s="43"/>
      <c r="J74" s="21"/>
      <c r="K74" s="20"/>
      <c r="L74" s="43"/>
      <c r="M74" s="43"/>
      <c r="N74" s="21"/>
      <c r="O74" s="20"/>
      <c r="P74" s="43"/>
      <c r="Q74" s="43"/>
      <c r="R74" s="21"/>
      <c r="S74" s="20"/>
      <c r="T74" s="43"/>
      <c r="U74" s="43"/>
      <c r="V74" s="21"/>
      <c r="X74" s="44"/>
      <c r="Y74" s="44"/>
      <c r="Z74" s="44"/>
      <c r="AA74" s="44"/>
      <c r="AB74" s="44"/>
    </row>
    <row r="75">
      <c r="A75" s="5"/>
      <c r="B75" s="8"/>
      <c r="C75" s="20"/>
      <c r="D75" s="43"/>
      <c r="E75" s="43"/>
      <c r="F75" s="21"/>
      <c r="G75" s="20"/>
      <c r="H75" s="43"/>
      <c r="I75" s="43"/>
      <c r="J75" s="21"/>
      <c r="K75" s="20"/>
      <c r="L75" s="43"/>
      <c r="M75" s="43"/>
      <c r="N75" s="21"/>
      <c r="O75" s="20"/>
      <c r="P75" s="43"/>
      <c r="Q75" s="43"/>
      <c r="R75" s="21"/>
      <c r="S75" s="20"/>
      <c r="T75" s="43"/>
      <c r="U75" s="43"/>
      <c r="V75" s="21"/>
      <c r="X75" s="44"/>
      <c r="Y75" s="44"/>
      <c r="Z75" s="44"/>
      <c r="AA75" s="44"/>
      <c r="AB75" s="44"/>
    </row>
    <row r="76">
      <c r="A76" s="5"/>
      <c r="B76" s="8"/>
      <c r="C76" s="20"/>
      <c r="D76" s="43"/>
      <c r="E76" s="43"/>
      <c r="F76" s="21"/>
      <c r="G76" s="20"/>
      <c r="H76" s="43"/>
      <c r="I76" s="43"/>
      <c r="J76" s="21"/>
      <c r="K76" s="20"/>
      <c r="L76" s="43"/>
      <c r="M76" s="43"/>
      <c r="N76" s="21"/>
      <c r="O76" s="20"/>
      <c r="P76" s="43"/>
      <c r="Q76" s="43"/>
      <c r="R76" s="21"/>
      <c r="S76" s="20"/>
      <c r="T76" s="43"/>
      <c r="U76" s="43"/>
      <c r="V76" s="21"/>
      <c r="X76" s="44"/>
      <c r="Y76" s="44"/>
      <c r="Z76" s="44"/>
      <c r="AA76" s="44"/>
      <c r="AB76" s="44"/>
    </row>
    <row r="77">
      <c r="A77" s="5"/>
      <c r="B77" s="8"/>
      <c r="C77" s="20"/>
      <c r="D77" s="43"/>
      <c r="E77" s="43"/>
      <c r="F77" s="21"/>
      <c r="G77" s="20"/>
      <c r="H77" s="43"/>
      <c r="I77" s="43"/>
      <c r="J77" s="21"/>
      <c r="K77" s="20"/>
      <c r="L77" s="43"/>
      <c r="M77" s="43"/>
      <c r="N77" s="21"/>
      <c r="O77" s="20"/>
      <c r="P77" s="43"/>
      <c r="Q77" s="43"/>
      <c r="R77" s="21"/>
      <c r="S77" s="20"/>
      <c r="T77" s="43"/>
      <c r="U77" s="43"/>
      <c r="V77" s="21"/>
      <c r="X77" s="44"/>
      <c r="Y77" s="44"/>
      <c r="Z77" s="44"/>
      <c r="AA77" s="44"/>
      <c r="AB77" s="44"/>
    </row>
    <row r="78">
      <c r="A78" s="5"/>
      <c r="B78" s="8"/>
      <c r="C78" s="20"/>
      <c r="D78" s="43"/>
      <c r="E78" s="43"/>
      <c r="F78" s="21"/>
      <c r="G78" s="20"/>
      <c r="H78" s="43"/>
      <c r="I78" s="43"/>
      <c r="J78" s="21"/>
      <c r="K78" s="20"/>
      <c r="L78" s="43"/>
      <c r="M78" s="43"/>
      <c r="N78" s="21"/>
      <c r="O78" s="20"/>
      <c r="P78" s="43"/>
      <c r="Q78" s="43"/>
      <c r="R78" s="21"/>
      <c r="S78" s="20"/>
      <c r="T78" s="43"/>
      <c r="U78" s="43"/>
      <c r="V78" s="21"/>
      <c r="X78" s="44"/>
      <c r="Y78" s="44"/>
      <c r="Z78" s="44"/>
      <c r="AA78" s="44"/>
      <c r="AB78" s="44"/>
    </row>
    <row r="79">
      <c r="A79" s="5"/>
      <c r="B79" s="8"/>
      <c r="C79" s="20"/>
      <c r="D79" s="43"/>
      <c r="E79" s="43"/>
      <c r="F79" s="21"/>
      <c r="G79" s="20"/>
      <c r="H79" s="43"/>
      <c r="I79" s="43"/>
      <c r="J79" s="21"/>
      <c r="K79" s="20"/>
      <c r="L79" s="43"/>
      <c r="M79" s="43"/>
      <c r="N79" s="21"/>
      <c r="O79" s="20"/>
      <c r="P79" s="43"/>
      <c r="Q79" s="43"/>
      <c r="R79" s="21"/>
      <c r="S79" s="20"/>
      <c r="T79" s="43"/>
      <c r="U79" s="43"/>
      <c r="V79" s="21"/>
      <c r="X79" s="44"/>
      <c r="Y79" s="44"/>
      <c r="Z79" s="44"/>
      <c r="AA79" s="44"/>
      <c r="AB79" s="44"/>
    </row>
    <row r="80">
      <c r="A80" s="5"/>
      <c r="B80" s="8"/>
      <c r="C80" s="20"/>
      <c r="D80" s="43"/>
      <c r="E80" s="43"/>
      <c r="F80" s="21"/>
      <c r="G80" s="20"/>
      <c r="H80" s="43"/>
      <c r="I80" s="43"/>
      <c r="J80" s="21"/>
      <c r="K80" s="20"/>
      <c r="L80" s="43"/>
      <c r="M80" s="43"/>
      <c r="N80" s="21"/>
      <c r="O80" s="20"/>
      <c r="P80" s="43"/>
      <c r="Q80" s="43"/>
      <c r="R80" s="21"/>
      <c r="S80" s="20"/>
      <c r="T80" s="43"/>
      <c r="U80" s="43"/>
      <c r="V80" s="21"/>
      <c r="X80" s="44"/>
      <c r="Y80" s="44"/>
      <c r="Z80" s="44"/>
      <c r="AA80" s="44"/>
      <c r="AB80" s="44"/>
    </row>
    <row r="81">
      <c r="A81" s="5"/>
      <c r="B81" s="8"/>
      <c r="C81" s="20"/>
      <c r="D81" s="43"/>
      <c r="E81" s="43"/>
      <c r="F81" s="21"/>
      <c r="G81" s="20"/>
      <c r="H81" s="43"/>
      <c r="I81" s="43"/>
      <c r="J81" s="21"/>
      <c r="K81" s="20"/>
      <c r="L81" s="43"/>
      <c r="M81" s="43"/>
      <c r="N81" s="21"/>
      <c r="O81" s="20"/>
      <c r="P81" s="43"/>
      <c r="Q81" s="43"/>
      <c r="R81" s="21"/>
      <c r="S81" s="20"/>
      <c r="T81" s="43"/>
      <c r="U81" s="43"/>
      <c r="V81" s="21"/>
      <c r="X81" s="44"/>
      <c r="Y81" s="44"/>
      <c r="Z81" s="44"/>
      <c r="AA81" s="44"/>
      <c r="AB81" s="44"/>
    </row>
    <row r="82">
      <c r="A82" s="5"/>
      <c r="B82" s="8"/>
      <c r="C82" s="20"/>
      <c r="D82" s="43"/>
      <c r="E82" s="43"/>
      <c r="F82" s="21"/>
      <c r="G82" s="20"/>
      <c r="H82" s="43"/>
      <c r="I82" s="43"/>
      <c r="J82" s="21"/>
      <c r="K82" s="20"/>
      <c r="L82" s="43"/>
      <c r="M82" s="43"/>
      <c r="N82" s="21"/>
      <c r="O82" s="20"/>
      <c r="P82" s="43"/>
      <c r="Q82" s="43"/>
      <c r="R82" s="21"/>
      <c r="S82" s="20"/>
      <c r="T82" s="43"/>
      <c r="U82" s="43"/>
      <c r="V82" s="21"/>
      <c r="X82" s="44"/>
      <c r="Y82" s="44"/>
      <c r="Z82" s="44"/>
      <c r="AA82" s="44"/>
      <c r="AB82" s="44"/>
    </row>
  </sheetData>
  <mergeCells count="105">
    <mergeCell ref="A28:A32"/>
    <mergeCell ref="B28:B32"/>
    <mergeCell ref="C32:E32"/>
    <mergeCell ref="G32:I32"/>
    <mergeCell ref="K32:M32"/>
    <mergeCell ref="O32:Q32"/>
    <mergeCell ref="S32:U32"/>
    <mergeCell ref="A33:A37"/>
    <mergeCell ref="B33:B37"/>
    <mergeCell ref="C37:E37"/>
    <mergeCell ref="G37:I37"/>
    <mergeCell ref="K37:M37"/>
    <mergeCell ref="O37:Q37"/>
    <mergeCell ref="S37:U37"/>
    <mergeCell ref="A38:A42"/>
    <mergeCell ref="B38:B42"/>
    <mergeCell ref="C42:E42"/>
    <mergeCell ref="G42:I42"/>
    <mergeCell ref="K42:M42"/>
    <mergeCell ref="O42:Q42"/>
    <mergeCell ref="S42:U42"/>
    <mergeCell ref="A43:A47"/>
    <mergeCell ref="B43:B47"/>
    <mergeCell ref="C47:E47"/>
    <mergeCell ref="G47:I47"/>
    <mergeCell ref="K47:M47"/>
    <mergeCell ref="O47:Q47"/>
    <mergeCell ref="S47:U47"/>
    <mergeCell ref="A48:A52"/>
    <mergeCell ref="B48:B52"/>
    <mergeCell ref="C52:E52"/>
    <mergeCell ref="G52:I52"/>
    <mergeCell ref="K52:M52"/>
    <mergeCell ref="O52:Q52"/>
    <mergeCell ref="S52:U52"/>
    <mergeCell ref="A53:A57"/>
    <mergeCell ref="B53:B57"/>
    <mergeCell ref="C57:E57"/>
    <mergeCell ref="G57:I57"/>
    <mergeCell ref="K57:M57"/>
    <mergeCell ref="O57:Q57"/>
    <mergeCell ref="S57:U57"/>
    <mergeCell ref="A58:A62"/>
    <mergeCell ref="B58:B62"/>
    <mergeCell ref="C62:E62"/>
    <mergeCell ref="G62:I62"/>
    <mergeCell ref="K62:M62"/>
    <mergeCell ref="O62:Q62"/>
    <mergeCell ref="S62:U62"/>
    <mergeCell ref="A63:A67"/>
    <mergeCell ref="B63:B67"/>
    <mergeCell ref="C67:E67"/>
    <mergeCell ref="G67:I67"/>
    <mergeCell ref="K67:M67"/>
    <mergeCell ref="O67:Q67"/>
    <mergeCell ref="S67:U67"/>
    <mergeCell ref="A1:A2"/>
    <mergeCell ref="B1:B2"/>
    <mergeCell ref="C1:F1"/>
    <mergeCell ref="G1:J1"/>
    <mergeCell ref="K1:N1"/>
    <mergeCell ref="O1:R1"/>
    <mergeCell ref="S1:V1"/>
    <mergeCell ref="A3:A7"/>
    <mergeCell ref="B3:B7"/>
    <mergeCell ref="C7:E7"/>
    <mergeCell ref="G7:I7"/>
    <mergeCell ref="K7:M7"/>
    <mergeCell ref="O7:Q7"/>
    <mergeCell ref="S7:U7"/>
    <mergeCell ref="A8:A12"/>
    <mergeCell ref="B8:B12"/>
    <mergeCell ref="C12:E12"/>
    <mergeCell ref="G12:I12"/>
    <mergeCell ref="K12:M12"/>
    <mergeCell ref="O12:Q12"/>
    <mergeCell ref="S12:U12"/>
    <mergeCell ref="A13:A17"/>
    <mergeCell ref="B13:B17"/>
    <mergeCell ref="C17:E17"/>
    <mergeCell ref="G17:I17"/>
    <mergeCell ref="K17:M17"/>
    <mergeCell ref="O17:Q17"/>
    <mergeCell ref="S17:U17"/>
    <mergeCell ref="A18:A22"/>
    <mergeCell ref="B18:B22"/>
    <mergeCell ref="C22:E22"/>
    <mergeCell ref="G22:I22"/>
    <mergeCell ref="K22:M22"/>
    <mergeCell ref="O22:Q22"/>
    <mergeCell ref="S22:U22"/>
    <mergeCell ref="A23:A27"/>
    <mergeCell ref="B23:B27"/>
    <mergeCell ref="C27:E27"/>
    <mergeCell ref="G27:I27"/>
    <mergeCell ref="K27:M27"/>
    <mergeCell ref="O27:Q27"/>
    <mergeCell ref="S27:U27"/>
    <mergeCell ref="A68:A72"/>
    <mergeCell ref="B68:B72"/>
    <mergeCell ref="C72:E72"/>
    <mergeCell ref="G72:I72"/>
    <mergeCell ref="K72:M72"/>
    <mergeCell ref="O72:Q72"/>
    <mergeCell ref="S72:U72"/>
  </mergeCells>
  <conditionalFormatting sqref="X1:X82">
    <cfRule type="notContainsBlanks" dxfId="0" priority="1">
      <formula>LEN(TRIM(X1))&gt;0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31.75"/>
    <col customWidth="1" min="3" max="5" width="10.63"/>
    <col customWidth="1" min="6" max="22" width="9.5"/>
  </cols>
  <sheetData>
    <row r="1" ht="43.5" customHeight="1">
      <c r="A1" s="46" t="s">
        <v>0</v>
      </c>
      <c r="B1" s="46" t="s">
        <v>1</v>
      </c>
      <c r="C1" s="46" t="s">
        <v>2</v>
      </c>
      <c r="G1" s="46" t="s">
        <v>3</v>
      </c>
      <c r="K1" s="46" t="s">
        <v>4</v>
      </c>
      <c r="O1" s="47" t="s">
        <v>5</v>
      </c>
      <c r="S1" s="48" t="s">
        <v>6</v>
      </c>
    </row>
    <row r="2" ht="29.25" customHeight="1">
      <c r="C2" s="49" t="s">
        <v>7</v>
      </c>
      <c r="D2" s="49" t="s">
        <v>8</v>
      </c>
      <c r="E2" s="49" t="s">
        <v>9</v>
      </c>
      <c r="F2" s="49" t="s">
        <v>10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7</v>
      </c>
      <c r="L2" s="50" t="s">
        <v>8</v>
      </c>
      <c r="M2" s="50" t="s">
        <v>9</v>
      </c>
      <c r="N2" s="50" t="s">
        <v>10</v>
      </c>
      <c r="O2" s="50" t="s">
        <v>7</v>
      </c>
      <c r="P2" s="50" t="s">
        <v>8</v>
      </c>
      <c r="Q2" s="50" t="s">
        <v>9</v>
      </c>
      <c r="R2" s="50" t="s">
        <v>10</v>
      </c>
      <c r="S2" s="50" t="s">
        <v>7</v>
      </c>
      <c r="T2" s="50" t="s">
        <v>8</v>
      </c>
      <c r="U2" s="50" t="s">
        <v>9</v>
      </c>
      <c r="V2" s="50" t="s">
        <v>10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49" t="s">
        <v>11</v>
      </c>
      <c r="B3" s="51" t="s">
        <v>47</v>
      </c>
      <c r="C3" s="49" t="s">
        <v>13</v>
      </c>
      <c r="D3" s="52">
        <v>8.0</v>
      </c>
      <c r="E3" s="52">
        <v>10.0</v>
      </c>
      <c r="F3" s="52">
        <v>200.0</v>
      </c>
      <c r="G3" s="53" t="s">
        <v>14</v>
      </c>
      <c r="H3" s="54">
        <v>0.0</v>
      </c>
      <c r="I3" s="54">
        <v>0.0</v>
      </c>
      <c r="J3" s="55">
        <v>300.0</v>
      </c>
      <c r="K3" s="53" t="s">
        <v>15</v>
      </c>
      <c r="L3" s="54">
        <v>8.0</v>
      </c>
      <c r="M3" s="54">
        <v>5.0</v>
      </c>
      <c r="N3" s="55">
        <v>266.0</v>
      </c>
      <c r="O3" s="53" t="s">
        <v>16</v>
      </c>
      <c r="P3" s="54">
        <v>7.0</v>
      </c>
      <c r="Q3" s="54">
        <v>8.0</v>
      </c>
      <c r="R3" s="55">
        <v>300.0</v>
      </c>
      <c r="S3" s="53" t="s">
        <v>17</v>
      </c>
      <c r="T3" s="54">
        <v>7.0</v>
      </c>
      <c r="U3" s="54">
        <v>10.0</v>
      </c>
      <c r="V3" s="55">
        <v>300.0</v>
      </c>
      <c r="X3" s="56">
        <f>AVERAGE(N3:N4)</f>
        <v>275</v>
      </c>
      <c r="AB3" s="56">
        <f>AVERAGE(R3:R4)</f>
        <v>300</v>
      </c>
    </row>
    <row r="4">
      <c r="C4" s="49" t="s">
        <v>18</v>
      </c>
      <c r="D4" s="52">
        <v>8.0</v>
      </c>
      <c r="E4" s="52">
        <v>2.0</v>
      </c>
      <c r="F4" s="52">
        <v>92.0</v>
      </c>
      <c r="G4" s="53" t="s">
        <v>19</v>
      </c>
      <c r="H4" s="54">
        <v>8.0</v>
      </c>
      <c r="I4" s="54">
        <v>3.0</v>
      </c>
      <c r="J4" s="55">
        <v>207.0</v>
      </c>
      <c r="K4" s="53" t="s">
        <v>20</v>
      </c>
      <c r="L4" s="54">
        <v>7.0</v>
      </c>
      <c r="M4" s="54">
        <v>5.0</v>
      </c>
      <c r="N4" s="55">
        <v>284.0</v>
      </c>
      <c r="O4" s="53" t="s">
        <v>21</v>
      </c>
      <c r="P4" s="54">
        <v>8.0</v>
      </c>
      <c r="Q4" s="54">
        <v>4.0</v>
      </c>
      <c r="R4" s="55">
        <v>300.0</v>
      </c>
      <c r="S4" s="53" t="s">
        <v>22</v>
      </c>
      <c r="T4" s="54">
        <v>8.0</v>
      </c>
      <c r="U4" s="54">
        <v>2.0</v>
      </c>
      <c r="V4" s="55">
        <v>145.0</v>
      </c>
    </row>
    <row r="5">
      <c r="C5" s="49" t="s">
        <v>23</v>
      </c>
      <c r="D5" s="52">
        <v>5.0</v>
      </c>
      <c r="E5" s="52">
        <v>3.0</v>
      </c>
      <c r="F5" s="52">
        <v>300.0</v>
      </c>
      <c r="G5" s="53" t="s">
        <v>24</v>
      </c>
      <c r="H5" s="54">
        <v>8.0</v>
      </c>
      <c r="I5" s="54">
        <v>5.0</v>
      </c>
      <c r="J5" s="55">
        <v>193.0</v>
      </c>
      <c r="K5" s="53" t="s">
        <v>25</v>
      </c>
      <c r="L5" s="54">
        <v>8.0</v>
      </c>
      <c r="M5" s="54">
        <v>5.0</v>
      </c>
      <c r="N5" s="55">
        <v>300.0</v>
      </c>
      <c r="O5" s="53" t="s">
        <v>26</v>
      </c>
      <c r="P5" s="54">
        <v>8.0</v>
      </c>
      <c r="Q5" s="54">
        <v>5.0</v>
      </c>
      <c r="R5" s="55">
        <v>152.0</v>
      </c>
      <c r="S5" s="53" t="s">
        <v>27</v>
      </c>
      <c r="T5" s="54">
        <v>8.0</v>
      </c>
      <c r="U5" s="54">
        <v>5.0</v>
      </c>
      <c r="V5" s="55">
        <v>186.0</v>
      </c>
      <c r="X5" s="56">
        <f>AVERAGE(N5:N6)</f>
        <v>300</v>
      </c>
      <c r="AB5" s="56">
        <f>AVERAGE(R5:R6)</f>
        <v>226</v>
      </c>
    </row>
    <row r="6">
      <c r="C6" s="49" t="s">
        <v>28</v>
      </c>
      <c r="D6" s="52">
        <v>8.0</v>
      </c>
      <c r="E6" s="52">
        <v>3.0</v>
      </c>
      <c r="F6" s="52">
        <v>198.0</v>
      </c>
      <c r="G6" s="53" t="s">
        <v>29</v>
      </c>
      <c r="H6" s="54">
        <v>5.0</v>
      </c>
      <c r="I6" s="54">
        <v>3.0</v>
      </c>
      <c r="J6" s="55">
        <v>300.0</v>
      </c>
      <c r="K6" s="53" t="s">
        <v>30</v>
      </c>
      <c r="L6" s="54">
        <v>6.0</v>
      </c>
      <c r="M6" s="54">
        <v>4.0</v>
      </c>
      <c r="N6" s="55">
        <v>300.0</v>
      </c>
      <c r="O6" s="53" t="s">
        <v>31</v>
      </c>
      <c r="P6" s="54">
        <v>7.0</v>
      </c>
      <c r="Q6" s="54">
        <v>5.0</v>
      </c>
      <c r="R6" s="55">
        <v>300.0</v>
      </c>
      <c r="S6" s="53" t="s">
        <v>32</v>
      </c>
      <c r="T6" s="54">
        <v>8.0</v>
      </c>
      <c r="U6" s="54">
        <v>3.0</v>
      </c>
      <c r="V6" s="55">
        <v>274.0</v>
      </c>
    </row>
    <row r="7">
      <c r="C7" s="57" t="s">
        <v>33</v>
      </c>
      <c r="F7" s="58">
        <f>AVERAGE(F3:F6)</f>
        <v>197.5</v>
      </c>
      <c r="G7" s="57" t="s">
        <v>33</v>
      </c>
      <c r="J7" s="58">
        <f>AVERAGE(J3:J6)</f>
        <v>250</v>
      </c>
      <c r="K7" s="57" t="s">
        <v>33</v>
      </c>
      <c r="N7" s="58">
        <f>AVERAGE(N3:N6)</f>
        <v>287.5</v>
      </c>
      <c r="O7" s="57" t="s">
        <v>33</v>
      </c>
      <c r="R7" s="58">
        <f>AVERAGE(R3:R6)</f>
        <v>263</v>
      </c>
      <c r="S7" s="57" t="s">
        <v>33</v>
      </c>
      <c r="V7" s="58">
        <f>AVERAGE(V3:V6)</f>
        <v>226.25</v>
      </c>
    </row>
    <row r="8">
      <c r="A8" s="49" t="s">
        <v>34</v>
      </c>
      <c r="B8" s="51" t="s">
        <v>12</v>
      </c>
      <c r="C8" s="49" t="s">
        <v>13</v>
      </c>
      <c r="D8" s="52">
        <v>6.0</v>
      </c>
      <c r="E8" s="52">
        <v>7.0</v>
      </c>
      <c r="F8" s="52">
        <v>300.0</v>
      </c>
      <c r="G8" s="53" t="s">
        <v>14</v>
      </c>
      <c r="H8" s="54">
        <v>8.0</v>
      </c>
      <c r="I8" s="54">
        <v>5.0</v>
      </c>
      <c r="J8" s="55">
        <v>244.0</v>
      </c>
      <c r="K8" s="53" t="s">
        <v>15</v>
      </c>
      <c r="L8" s="54">
        <v>6.0</v>
      </c>
      <c r="M8" s="54">
        <v>5.0</v>
      </c>
      <c r="N8" s="55">
        <v>300.0</v>
      </c>
      <c r="O8" s="53" t="s">
        <v>16</v>
      </c>
      <c r="P8" s="54">
        <v>6.0</v>
      </c>
      <c r="Q8" s="54">
        <v>6.0</v>
      </c>
      <c r="R8" s="55">
        <v>300.0</v>
      </c>
      <c r="S8" s="53" t="s">
        <v>17</v>
      </c>
      <c r="T8" s="54">
        <v>6.0</v>
      </c>
      <c r="U8" s="54">
        <v>10.0</v>
      </c>
      <c r="V8" s="55">
        <v>300.0</v>
      </c>
      <c r="X8" s="56">
        <f>AVERAGE(N8:N9)</f>
        <v>245.5</v>
      </c>
      <c r="AB8" s="56">
        <f>AVERAGE(R8:R9)</f>
        <v>300</v>
      </c>
    </row>
    <row r="9">
      <c r="C9" s="49" t="s">
        <v>18</v>
      </c>
      <c r="D9" s="52">
        <v>8.0</v>
      </c>
      <c r="E9" s="52">
        <v>7.0</v>
      </c>
      <c r="F9" s="52">
        <v>121.0</v>
      </c>
      <c r="G9" s="53" t="s">
        <v>19</v>
      </c>
      <c r="H9" s="54">
        <v>8.0</v>
      </c>
      <c r="I9" s="54">
        <v>8.0</v>
      </c>
      <c r="J9" s="55">
        <v>288.0</v>
      </c>
      <c r="K9" s="53" t="s">
        <v>20</v>
      </c>
      <c r="L9" s="54">
        <v>8.0</v>
      </c>
      <c r="M9" s="54">
        <v>0.0</v>
      </c>
      <c r="N9" s="55">
        <v>191.0</v>
      </c>
      <c r="O9" s="53" t="s">
        <v>21</v>
      </c>
      <c r="P9" s="54">
        <v>6.0</v>
      </c>
      <c r="Q9" s="54">
        <v>5.0</v>
      </c>
      <c r="R9" s="55">
        <v>300.0</v>
      </c>
      <c r="S9" s="53" t="s">
        <v>22</v>
      </c>
      <c r="T9" s="54">
        <v>6.0</v>
      </c>
      <c r="U9" s="54">
        <v>12.0</v>
      </c>
      <c r="V9" s="55">
        <v>300.0</v>
      </c>
    </row>
    <row r="10">
      <c r="C10" s="49" t="s">
        <v>23</v>
      </c>
      <c r="D10" s="52">
        <v>6.0</v>
      </c>
      <c r="E10" s="52">
        <v>12.0</v>
      </c>
      <c r="F10" s="52">
        <v>300.0</v>
      </c>
      <c r="G10" s="53" t="s">
        <v>24</v>
      </c>
      <c r="H10" s="54">
        <v>5.0</v>
      </c>
      <c r="I10" s="54">
        <v>5.0</v>
      </c>
      <c r="J10" s="55">
        <v>300.0</v>
      </c>
      <c r="K10" s="53" t="s">
        <v>25</v>
      </c>
      <c r="L10" s="54">
        <v>7.0</v>
      </c>
      <c r="M10" s="54">
        <v>1.0</v>
      </c>
      <c r="N10" s="55">
        <v>300.0</v>
      </c>
      <c r="O10" s="53" t="s">
        <v>26</v>
      </c>
      <c r="P10" s="54">
        <v>8.0</v>
      </c>
      <c r="Q10" s="54">
        <v>1.0</v>
      </c>
      <c r="R10" s="55">
        <v>118.0</v>
      </c>
      <c r="S10" s="53" t="s">
        <v>27</v>
      </c>
      <c r="T10" s="54">
        <v>8.0</v>
      </c>
      <c r="U10" s="54">
        <v>8.0</v>
      </c>
      <c r="V10" s="55">
        <v>224.0</v>
      </c>
      <c r="X10" s="56">
        <f>AVERAGE(N10:N11)</f>
        <v>300</v>
      </c>
      <c r="AB10" s="56">
        <f>AVERAGE(R10:R11)</f>
        <v>209</v>
      </c>
    </row>
    <row r="11">
      <c r="C11" s="49" t="s">
        <v>28</v>
      </c>
      <c r="D11" s="52">
        <v>8.0</v>
      </c>
      <c r="E11" s="52">
        <v>9.0</v>
      </c>
      <c r="F11" s="52">
        <v>236.0</v>
      </c>
      <c r="G11" s="53" t="s">
        <v>29</v>
      </c>
      <c r="H11" s="54">
        <v>1.0</v>
      </c>
      <c r="I11" s="54">
        <v>0.0</v>
      </c>
      <c r="J11" s="55">
        <v>300.0</v>
      </c>
      <c r="K11" s="53" t="s">
        <v>30</v>
      </c>
      <c r="L11" s="54">
        <v>7.0</v>
      </c>
      <c r="M11" s="54">
        <v>9.0</v>
      </c>
      <c r="N11" s="55">
        <v>300.0</v>
      </c>
      <c r="O11" s="53" t="s">
        <v>31</v>
      </c>
      <c r="P11" s="54">
        <v>6.0</v>
      </c>
      <c r="Q11" s="54">
        <v>11.0</v>
      </c>
      <c r="R11" s="55">
        <v>300.0</v>
      </c>
      <c r="S11" s="53" t="s">
        <v>32</v>
      </c>
      <c r="T11" s="54">
        <v>7.0</v>
      </c>
      <c r="U11" s="54">
        <v>5.0</v>
      </c>
      <c r="V11" s="55">
        <v>300.0</v>
      </c>
    </row>
    <row r="12">
      <c r="C12" s="57" t="s">
        <v>33</v>
      </c>
      <c r="F12" s="58">
        <f>AVERAGE(F8:F11)</f>
        <v>239.25</v>
      </c>
      <c r="G12" s="57" t="s">
        <v>33</v>
      </c>
      <c r="J12" s="58">
        <f>AVERAGE(J8:J11)</f>
        <v>283</v>
      </c>
      <c r="K12" s="57" t="s">
        <v>33</v>
      </c>
      <c r="N12" s="58">
        <f>AVERAGE(N8:N11)</f>
        <v>272.75</v>
      </c>
      <c r="O12" s="57" t="s">
        <v>33</v>
      </c>
      <c r="R12" s="58">
        <f>AVERAGE(R8:R11)</f>
        <v>254.5</v>
      </c>
      <c r="S12" s="57" t="s">
        <v>33</v>
      </c>
      <c r="V12" s="58">
        <f>AVERAGE(V8:V11)</f>
        <v>281</v>
      </c>
    </row>
    <row r="13">
      <c r="A13" s="49" t="s">
        <v>35</v>
      </c>
      <c r="B13" s="51" t="s">
        <v>12</v>
      </c>
      <c r="C13" s="49" t="s">
        <v>13</v>
      </c>
      <c r="D13" s="52">
        <v>7.0</v>
      </c>
      <c r="E13" s="52">
        <v>11.0</v>
      </c>
      <c r="F13" s="52">
        <v>92.0</v>
      </c>
      <c r="G13" s="53" t="s">
        <v>14</v>
      </c>
      <c r="H13" s="54">
        <v>8.0</v>
      </c>
      <c r="I13" s="54">
        <v>3.0</v>
      </c>
      <c r="J13" s="55">
        <v>148.0</v>
      </c>
      <c r="K13" s="53" t="s">
        <v>15</v>
      </c>
      <c r="L13" s="54">
        <v>7.0</v>
      </c>
      <c r="M13" s="54">
        <v>8.0</v>
      </c>
      <c r="N13" s="55">
        <v>300.0</v>
      </c>
      <c r="O13" s="53" t="s">
        <v>16</v>
      </c>
      <c r="P13" s="54">
        <v>8.0</v>
      </c>
      <c r="Q13" s="54">
        <v>7.0</v>
      </c>
      <c r="R13" s="55">
        <v>281.0</v>
      </c>
      <c r="S13" s="53" t="s">
        <v>17</v>
      </c>
      <c r="T13" s="54">
        <v>7.0</v>
      </c>
      <c r="U13" s="54">
        <v>11.0</v>
      </c>
      <c r="V13" s="55">
        <v>300.0</v>
      </c>
      <c r="X13" s="56">
        <f>AVERAGE(N13:N14)</f>
        <v>300</v>
      </c>
      <c r="AB13" s="56">
        <f>AVERAGE(R13:R14)</f>
        <v>290.5</v>
      </c>
    </row>
    <row r="14">
      <c r="C14" s="49" t="s">
        <v>18</v>
      </c>
      <c r="D14" s="52">
        <v>8.0</v>
      </c>
      <c r="E14" s="52">
        <v>6.0</v>
      </c>
      <c r="F14" s="52">
        <v>149.0</v>
      </c>
      <c r="G14" s="53" t="s">
        <v>19</v>
      </c>
      <c r="H14" s="54">
        <v>8.0</v>
      </c>
      <c r="I14" s="54">
        <v>2.0</v>
      </c>
      <c r="J14" s="55">
        <v>196.0</v>
      </c>
      <c r="K14" s="53" t="s">
        <v>20</v>
      </c>
      <c r="L14" s="54">
        <v>7.0</v>
      </c>
      <c r="M14" s="54">
        <v>5.0</v>
      </c>
      <c r="N14" s="55">
        <v>300.0</v>
      </c>
      <c r="O14" s="53" t="s">
        <v>21</v>
      </c>
      <c r="P14" s="54">
        <v>6.0</v>
      </c>
      <c r="Q14" s="59"/>
      <c r="R14" s="55">
        <v>300.0</v>
      </c>
      <c r="S14" s="53" t="s">
        <v>22</v>
      </c>
      <c r="T14" s="54">
        <v>8.0</v>
      </c>
      <c r="U14" s="54">
        <v>9.0</v>
      </c>
      <c r="V14" s="55">
        <v>297.0</v>
      </c>
    </row>
    <row r="15">
      <c r="C15" s="49" t="s">
        <v>23</v>
      </c>
      <c r="D15" s="52">
        <v>8.0</v>
      </c>
      <c r="E15" s="52">
        <v>5.0</v>
      </c>
      <c r="F15" s="52">
        <v>219.0</v>
      </c>
      <c r="G15" s="53" t="s">
        <v>24</v>
      </c>
      <c r="H15" s="54">
        <v>6.0</v>
      </c>
      <c r="I15" s="54">
        <v>3.0</v>
      </c>
      <c r="J15" s="55">
        <v>300.0</v>
      </c>
      <c r="K15" s="53" t="s">
        <v>25</v>
      </c>
      <c r="L15" s="54">
        <v>8.0</v>
      </c>
      <c r="M15" s="54">
        <v>3.0</v>
      </c>
      <c r="N15" s="55">
        <v>290.0</v>
      </c>
      <c r="O15" s="53" t="s">
        <v>26</v>
      </c>
      <c r="P15" s="54">
        <v>8.0</v>
      </c>
      <c r="Q15" s="59"/>
      <c r="R15" s="55">
        <v>164.0</v>
      </c>
      <c r="S15" s="53" t="s">
        <v>27</v>
      </c>
      <c r="T15" s="54">
        <v>8.0</v>
      </c>
      <c r="U15" s="54">
        <v>8.0</v>
      </c>
      <c r="V15" s="55">
        <v>300.0</v>
      </c>
      <c r="X15" s="56">
        <f>AVERAGE(N15:N16)</f>
        <v>295</v>
      </c>
      <c r="AB15" s="56">
        <f>AVERAGE(R15:R16)</f>
        <v>232</v>
      </c>
    </row>
    <row r="16">
      <c r="C16" s="49" t="s">
        <v>28</v>
      </c>
      <c r="D16" s="52">
        <v>8.0</v>
      </c>
      <c r="E16" s="52">
        <v>1.0</v>
      </c>
      <c r="F16" s="52">
        <v>300.0</v>
      </c>
      <c r="G16" s="53" t="s">
        <v>29</v>
      </c>
      <c r="H16" s="54">
        <v>1.0</v>
      </c>
      <c r="I16" s="54">
        <v>0.0</v>
      </c>
      <c r="J16" s="55">
        <v>300.0</v>
      </c>
      <c r="K16" s="53" t="s">
        <v>30</v>
      </c>
      <c r="L16" s="54">
        <v>7.0</v>
      </c>
      <c r="M16" s="54">
        <v>2.0</v>
      </c>
      <c r="N16" s="55">
        <v>300.0</v>
      </c>
      <c r="O16" s="53" t="s">
        <v>31</v>
      </c>
      <c r="P16" s="54">
        <v>7.0</v>
      </c>
      <c r="Q16" s="54">
        <v>12.0</v>
      </c>
      <c r="R16" s="55">
        <v>300.0</v>
      </c>
      <c r="S16" s="53" t="s">
        <v>32</v>
      </c>
      <c r="T16" s="54">
        <v>7.0</v>
      </c>
      <c r="U16" s="54">
        <v>4.0</v>
      </c>
      <c r="V16" s="55">
        <v>300.0</v>
      </c>
    </row>
    <row r="17">
      <c r="C17" s="57" t="s">
        <v>33</v>
      </c>
      <c r="F17" s="58">
        <f>AVERAGE(F13:F16)</f>
        <v>190</v>
      </c>
      <c r="G17" s="57" t="s">
        <v>33</v>
      </c>
      <c r="J17" s="58">
        <f>AVERAGE(J13:J16)</f>
        <v>236</v>
      </c>
      <c r="K17" s="57" t="s">
        <v>33</v>
      </c>
      <c r="N17" s="58">
        <f>AVERAGE(N13:N16)</f>
        <v>297.5</v>
      </c>
      <c r="O17" s="57" t="s">
        <v>33</v>
      </c>
      <c r="R17" s="58">
        <f>AVERAGE(R13:R16)</f>
        <v>261.25</v>
      </c>
      <c r="S17" s="57" t="s">
        <v>33</v>
      </c>
      <c r="V17" s="58">
        <f>AVERAGE(V13:V16)</f>
        <v>299.25</v>
      </c>
    </row>
    <row r="18">
      <c r="A18" s="49" t="s">
        <v>36</v>
      </c>
      <c r="B18" s="51" t="s">
        <v>12</v>
      </c>
      <c r="C18" s="49" t="s">
        <v>13</v>
      </c>
      <c r="D18" s="52">
        <v>6.0</v>
      </c>
      <c r="E18" s="52">
        <v>2.0</v>
      </c>
      <c r="F18" s="52">
        <v>300.0</v>
      </c>
      <c r="G18" s="53" t="s">
        <v>14</v>
      </c>
      <c r="H18" s="54">
        <v>7.0</v>
      </c>
      <c r="I18" s="54">
        <v>6.0</v>
      </c>
      <c r="J18" s="55">
        <v>300.0</v>
      </c>
      <c r="K18" s="53" t="s">
        <v>15</v>
      </c>
      <c r="L18" s="54">
        <v>7.0</v>
      </c>
      <c r="M18" s="54">
        <v>3.0</v>
      </c>
      <c r="N18" s="55">
        <v>300.0</v>
      </c>
      <c r="O18" s="53" t="s">
        <v>16</v>
      </c>
      <c r="P18" s="54">
        <v>3.0</v>
      </c>
      <c r="Q18" s="54">
        <v>0.0</v>
      </c>
      <c r="R18" s="55">
        <v>164.0</v>
      </c>
      <c r="S18" s="53" t="s">
        <v>17</v>
      </c>
      <c r="T18" s="54">
        <v>5.0</v>
      </c>
      <c r="U18" s="54">
        <v>0.0</v>
      </c>
      <c r="V18" s="55">
        <v>300.0</v>
      </c>
      <c r="X18" s="56">
        <f>AVERAGE(N18:N19)</f>
        <v>300</v>
      </c>
      <c r="AB18" s="56">
        <f>AVERAGE(R18:R19)</f>
        <v>232</v>
      </c>
    </row>
    <row r="19">
      <c r="C19" s="49" t="s">
        <v>18</v>
      </c>
      <c r="D19" s="52">
        <v>8.0</v>
      </c>
      <c r="E19" s="52">
        <v>12.0</v>
      </c>
      <c r="F19" s="52">
        <v>233.0</v>
      </c>
      <c r="G19" s="53" t="s">
        <v>19</v>
      </c>
      <c r="H19" s="54">
        <v>7.0</v>
      </c>
      <c r="I19" s="54">
        <v>7.0</v>
      </c>
      <c r="J19" s="55">
        <v>300.0</v>
      </c>
      <c r="K19" s="53" t="s">
        <v>20</v>
      </c>
      <c r="L19" s="54">
        <v>7.0</v>
      </c>
      <c r="M19" s="54">
        <v>9.0</v>
      </c>
      <c r="N19" s="55">
        <v>300.0</v>
      </c>
      <c r="O19" s="53" t="s">
        <v>21</v>
      </c>
      <c r="P19" s="54">
        <v>1.0</v>
      </c>
      <c r="Q19" s="54">
        <v>1.0</v>
      </c>
      <c r="R19" s="55">
        <v>300.0</v>
      </c>
      <c r="S19" s="53" t="s">
        <v>22</v>
      </c>
      <c r="T19" s="54">
        <v>6.0</v>
      </c>
      <c r="U19" s="54">
        <v>2.0</v>
      </c>
      <c r="V19" s="55">
        <v>300.0</v>
      </c>
    </row>
    <row r="20">
      <c r="C20" s="49" t="s">
        <v>23</v>
      </c>
      <c r="D20" s="52">
        <v>6.0</v>
      </c>
      <c r="E20" s="52">
        <v>6.0</v>
      </c>
      <c r="F20" s="52">
        <v>300.0</v>
      </c>
      <c r="G20" s="53" t="s">
        <v>24</v>
      </c>
      <c r="H20" s="54">
        <v>6.0</v>
      </c>
      <c r="I20" s="54">
        <v>0.0</v>
      </c>
      <c r="J20" s="55">
        <v>300.0</v>
      </c>
      <c r="K20" s="53" t="s">
        <v>25</v>
      </c>
      <c r="L20" s="54">
        <v>4.0</v>
      </c>
      <c r="M20" s="54">
        <v>0.0</v>
      </c>
      <c r="N20" s="55">
        <v>300.0</v>
      </c>
      <c r="O20" s="53" t="s">
        <v>26</v>
      </c>
      <c r="P20" s="54">
        <v>8.0</v>
      </c>
      <c r="Q20" s="54">
        <v>1.0</v>
      </c>
      <c r="R20" s="55">
        <v>164.0</v>
      </c>
      <c r="S20" s="53" t="s">
        <v>27</v>
      </c>
      <c r="T20" s="54">
        <v>7.0</v>
      </c>
      <c r="U20" s="54">
        <v>3.0</v>
      </c>
      <c r="V20" s="55">
        <v>300.0</v>
      </c>
      <c r="X20" s="56">
        <f>AVERAGE(N20:N21)</f>
        <v>300</v>
      </c>
      <c r="AB20" s="56">
        <f>AVERAGE(R20:R21)</f>
        <v>232</v>
      </c>
    </row>
    <row r="21">
      <c r="C21" s="49" t="s">
        <v>28</v>
      </c>
      <c r="D21" s="52">
        <v>8.0</v>
      </c>
      <c r="E21" s="52">
        <v>2.0</v>
      </c>
      <c r="F21" s="52">
        <v>171.0</v>
      </c>
      <c r="G21" s="53" t="s">
        <v>29</v>
      </c>
      <c r="H21" s="54">
        <v>0.0</v>
      </c>
      <c r="I21" s="54">
        <v>0.0</v>
      </c>
      <c r="J21" s="55">
        <v>300.0</v>
      </c>
      <c r="K21" s="53" t="s">
        <v>30</v>
      </c>
      <c r="L21" s="54">
        <v>6.0</v>
      </c>
      <c r="M21" s="54">
        <v>6.0</v>
      </c>
      <c r="N21" s="55">
        <v>300.0</v>
      </c>
      <c r="O21" s="53" t="s">
        <v>31</v>
      </c>
      <c r="P21" s="54">
        <v>7.0</v>
      </c>
      <c r="Q21" s="54">
        <v>6.0</v>
      </c>
      <c r="R21" s="55">
        <v>300.0</v>
      </c>
      <c r="S21" s="53" t="s">
        <v>32</v>
      </c>
      <c r="T21" s="54">
        <v>7.0</v>
      </c>
      <c r="U21" s="54">
        <v>10.0</v>
      </c>
      <c r="V21" s="55">
        <v>300.0</v>
      </c>
    </row>
    <row r="22">
      <c r="C22" s="57" t="s">
        <v>33</v>
      </c>
      <c r="F22" s="58">
        <f>AVERAGE(F18:F21)</f>
        <v>251</v>
      </c>
      <c r="G22" s="57" t="s">
        <v>33</v>
      </c>
      <c r="J22" s="58">
        <f>AVERAGE(J18:J21)</f>
        <v>300</v>
      </c>
      <c r="K22" s="57" t="s">
        <v>33</v>
      </c>
      <c r="N22" s="58">
        <f>AVERAGE(N18:N21)</f>
        <v>300</v>
      </c>
      <c r="O22" s="57" t="s">
        <v>33</v>
      </c>
      <c r="R22" s="58">
        <f>AVERAGE(R18:R21)</f>
        <v>232</v>
      </c>
      <c r="S22" s="57" t="s">
        <v>33</v>
      </c>
      <c r="V22" s="58">
        <f>AVERAGE(V18:V21)</f>
        <v>300</v>
      </c>
    </row>
    <row r="23">
      <c r="A23" s="49" t="s">
        <v>37</v>
      </c>
      <c r="B23" s="51" t="s">
        <v>12</v>
      </c>
      <c r="C23" s="49" t="s">
        <v>13</v>
      </c>
      <c r="D23" s="52">
        <v>8.0</v>
      </c>
      <c r="E23" s="52">
        <v>2.0</v>
      </c>
      <c r="F23" s="52">
        <v>91.0</v>
      </c>
      <c r="G23" s="53" t="s">
        <v>14</v>
      </c>
      <c r="H23" s="54">
        <v>6.0</v>
      </c>
      <c r="I23" s="54">
        <v>3.0</v>
      </c>
      <c r="J23" s="55">
        <v>300.0</v>
      </c>
      <c r="K23" s="53" t="s">
        <v>15</v>
      </c>
      <c r="L23" s="54">
        <v>6.0</v>
      </c>
      <c r="M23" s="54">
        <v>4.0</v>
      </c>
      <c r="N23" s="55">
        <v>300.0</v>
      </c>
      <c r="O23" s="53" t="s">
        <v>16</v>
      </c>
      <c r="P23" s="54">
        <v>5.0</v>
      </c>
      <c r="Q23" s="54">
        <v>0.0</v>
      </c>
      <c r="R23" s="55">
        <v>300.0</v>
      </c>
      <c r="S23" s="53" t="s">
        <v>17</v>
      </c>
      <c r="T23" s="54">
        <v>6.0</v>
      </c>
      <c r="U23" s="54">
        <v>5.0</v>
      </c>
      <c r="V23" s="55">
        <v>300.0</v>
      </c>
      <c r="X23" s="56">
        <f>AVERAGE(N23:N24)</f>
        <v>300</v>
      </c>
      <c r="AB23" s="56">
        <f>AVERAGE(R23:R24)</f>
        <v>300</v>
      </c>
    </row>
    <row r="24">
      <c r="C24" s="49" t="s">
        <v>18</v>
      </c>
      <c r="D24" s="52">
        <v>8.0</v>
      </c>
      <c r="E24" s="52">
        <v>5.0</v>
      </c>
      <c r="F24" s="52">
        <v>219.0</v>
      </c>
      <c r="G24" s="53" t="s">
        <v>19</v>
      </c>
      <c r="H24" s="54">
        <v>8.0</v>
      </c>
      <c r="I24" s="54">
        <v>2.0</v>
      </c>
      <c r="J24" s="55">
        <v>133.0</v>
      </c>
      <c r="K24" s="53" t="s">
        <v>20</v>
      </c>
      <c r="L24" s="54">
        <v>7.0</v>
      </c>
      <c r="M24" s="54">
        <v>11.0</v>
      </c>
      <c r="N24" s="55">
        <v>300.0</v>
      </c>
      <c r="O24" s="53" t="s">
        <v>21</v>
      </c>
      <c r="P24" s="54">
        <v>7.0</v>
      </c>
      <c r="Q24" s="54">
        <v>1.0</v>
      </c>
      <c r="R24" s="55">
        <v>300.0</v>
      </c>
      <c r="S24" s="53" t="s">
        <v>22</v>
      </c>
      <c r="T24" s="54">
        <v>1.0</v>
      </c>
      <c r="U24" s="54">
        <v>0.0</v>
      </c>
      <c r="V24" s="55">
        <v>300.0</v>
      </c>
    </row>
    <row r="25">
      <c r="C25" s="49" t="s">
        <v>23</v>
      </c>
      <c r="D25" s="52">
        <v>6.0</v>
      </c>
      <c r="E25" s="52">
        <v>6.0</v>
      </c>
      <c r="F25" s="52">
        <v>300.0</v>
      </c>
      <c r="G25" s="53" t="s">
        <v>24</v>
      </c>
      <c r="H25" s="54">
        <v>4.0</v>
      </c>
      <c r="I25" s="54">
        <v>0.0</v>
      </c>
      <c r="J25" s="55">
        <v>300.0</v>
      </c>
      <c r="K25" s="53" t="s">
        <v>25</v>
      </c>
      <c r="L25" s="54">
        <v>1.0</v>
      </c>
      <c r="M25" s="54">
        <v>0.0</v>
      </c>
      <c r="N25" s="55">
        <v>300.0</v>
      </c>
      <c r="O25" s="53" t="s">
        <v>26</v>
      </c>
      <c r="P25" s="54">
        <v>7.0</v>
      </c>
      <c r="Q25" s="54">
        <v>8.0</v>
      </c>
      <c r="R25" s="55">
        <v>300.0</v>
      </c>
      <c r="S25" s="53" t="s">
        <v>27</v>
      </c>
      <c r="T25" s="54">
        <v>5.0</v>
      </c>
      <c r="U25" s="54">
        <v>1.0</v>
      </c>
      <c r="V25" s="55">
        <v>300.0</v>
      </c>
      <c r="X25" s="56">
        <f>AVERAGE(N25:N26)</f>
        <v>300</v>
      </c>
      <c r="AB25" s="56">
        <f>AVERAGE(R25:R26)</f>
        <v>285</v>
      </c>
    </row>
    <row r="26">
      <c r="C26" s="49" t="s">
        <v>28</v>
      </c>
      <c r="D26" s="52">
        <v>7.0</v>
      </c>
      <c r="E26" s="52">
        <v>4.0</v>
      </c>
      <c r="F26" s="52">
        <v>300.0</v>
      </c>
      <c r="G26" s="53" t="s">
        <v>29</v>
      </c>
      <c r="H26" s="54">
        <v>2.0</v>
      </c>
      <c r="I26" s="54">
        <v>0.0</v>
      </c>
      <c r="J26" s="55">
        <v>300.0</v>
      </c>
      <c r="K26" s="53" t="s">
        <v>30</v>
      </c>
      <c r="L26" s="54">
        <v>8.0</v>
      </c>
      <c r="M26" s="54">
        <v>12.0</v>
      </c>
      <c r="N26" s="55">
        <v>300.0</v>
      </c>
      <c r="O26" s="53" t="s">
        <v>31</v>
      </c>
      <c r="P26" s="54">
        <v>8.0</v>
      </c>
      <c r="Q26" s="54">
        <v>11.0</v>
      </c>
      <c r="R26" s="55">
        <v>270.0</v>
      </c>
      <c r="S26" s="53" t="s">
        <v>32</v>
      </c>
      <c r="T26" s="54">
        <v>8.0</v>
      </c>
      <c r="U26" s="54">
        <v>5.0</v>
      </c>
      <c r="V26" s="55">
        <v>219.0</v>
      </c>
    </row>
    <row r="27">
      <c r="C27" s="57" t="s">
        <v>33</v>
      </c>
      <c r="F27" s="58">
        <f>AVERAGE(F23:F26)</f>
        <v>227.5</v>
      </c>
      <c r="G27" s="57" t="s">
        <v>33</v>
      </c>
      <c r="J27" s="58">
        <f>AVERAGE(J23:J26)</f>
        <v>258.25</v>
      </c>
      <c r="K27" s="57" t="s">
        <v>33</v>
      </c>
      <c r="N27" s="58">
        <f>AVERAGE(N23:N26)</f>
        <v>300</v>
      </c>
      <c r="O27" s="57" t="s">
        <v>33</v>
      </c>
      <c r="R27" s="58">
        <f>AVERAGE(R23:R26)</f>
        <v>292.5</v>
      </c>
      <c r="S27" s="57" t="s">
        <v>33</v>
      </c>
      <c r="V27" s="58">
        <f>AVERAGE(V23:V26)</f>
        <v>279.75</v>
      </c>
    </row>
    <row r="28">
      <c r="A28" s="49" t="s">
        <v>38</v>
      </c>
      <c r="B28" s="51" t="s">
        <v>12</v>
      </c>
      <c r="C28" s="49" t="s">
        <v>13</v>
      </c>
      <c r="D28" s="52">
        <v>6.0</v>
      </c>
      <c r="E28" s="52">
        <v>3.0</v>
      </c>
      <c r="F28" s="52">
        <v>300.0</v>
      </c>
      <c r="G28" s="53" t="s">
        <v>14</v>
      </c>
      <c r="H28" s="54">
        <v>3.0</v>
      </c>
      <c r="I28" s="54">
        <v>1.0</v>
      </c>
      <c r="J28" s="55">
        <v>300.0</v>
      </c>
      <c r="K28" s="53" t="s">
        <v>15</v>
      </c>
      <c r="L28" s="54">
        <v>3.0</v>
      </c>
      <c r="M28" s="54">
        <v>1.0</v>
      </c>
      <c r="N28" s="55">
        <v>300.0</v>
      </c>
      <c r="O28" s="53" t="s">
        <v>16</v>
      </c>
      <c r="P28" s="54">
        <v>5.0</v>
      </c>
      <c r="Q28" s="54">
        <v>0.0</v>
      </c>
      <c r="R28" s="55">
        <v>300.0</v>
      </c>
      <c r="S28" s="53" t="s">
        <v>17</v>
      </c>
      <c r="T28" s="54">
        <v>7.0</v>
      </c>
      <c r="U28" s="54">
        <v>2.0</v>
      </c>
      <c r="V28" s="55">
        <v>300.0</v>
      </c>
      <c r="X28" s="56">
        <f>AVERAGE(N28:N29)</f>
        <v>300</v>
      </c>
      <c r="AB28" s="56">
        <f>AVERAGE(R28:R29)</f>
        <v>300</v>
      </c>
    </row>
    <row r="29">
      <c r="C29" s="49" t="s">
        <v>18</v>
      </c>
      <c r="D29" s="52">
        <v>8.0</v>
      </c>
      <c r="E29" s="52">
        <v>7.0</v>
      </c>
      <c r="F29" s="52">
        <v>235.0</v>
      </c>
      <c r="G29" s="53" t="s">
        <v>19</v>
      </c>
      <c r="H29" s="54">
        <v>6.0</v>
      </c>
      <c r="I29" s="54">
        <v>11.0</v>
      </c>
      <c r="J29" s="55">
        <v>300.0</v>
      </c>
      <c r="K29" s="53" t="s">
        <v>20</v>
      </c>
      <c r="L29" s="54">
        <v>7.0</v>
      </c>
      <c r="M29" s="54">
        <v>9.0</v>
      </c>
      <c r="N29" s="55">
        <v>300.0</v>
      </c>
      <c r="O29" s="53" t="s">
        <v>21</v>
      </c>
      <c r="P29" s="54">
        <v>6.0</v>
      </c>
      <c r="Q29" s="54">
        <v>4.0</v>
      </c>
      <c r="R29" s="55">
        <v>300.0</v>
      </c>
      <c r="S29" s="53" t="s">
        <v>22</v>
      </c>
      <c r="T29" s="54">
        <v>5.0</v>
      </c>
      <c r="U29" s="54">
        <v>4.0</v>
      </c>
      <c r="V29" s="55">
        <v>300.0</v>
      </c>
    </row>
    <row r="30">
      <c r="C30" s="49" t="s">
        <v>23</v>
      </c>
      <c r="D30" s="52">
        <v>8.0</v>
      </c>
      <c r="E30" s="52">
        <v>11.0</v>
      </c>
      <c r="F30" s="52">
        <v>277.0</v>
      </c>
      <c r="G30" s="53" t="s">
        <v>24</v>
      </c>
      <c r="H30" s="54">
        <v>5.0</v>
      </c>
      <c r="I30" s="54">
        <v>2.0</v>
      </c>
      <c r="J30" s="55">
        <v>300.0</v>
      </c>
      <c r="K30" s="53" t="s">
        <v>25</v>
      </c>
      <c r="L30" s="54">
        <v>8.0</v>
      </c>
      <c r="M30" s="54">
        <v>3.0</v>
      </c>
      <c r="N30" s="55">
        <v>219.0</v>
      </c>
      <c r="O30" s="53" t="s">
        <v>26</v>
      </c>
      <c r="P30" s="54">
        <v>8.0</v>
      </c>
      <c r="Q30" s="54">
        <v>2.0</v>
      </c>
      <c r="R30" s="55">
        <v>145.0</v>
      </c>
      <c r="S30" s="53" t="s">
        <v>27</v>
      </c>
      <c r="T30" s="54">
        <v>0.0</v>
      </c>
      <c r="U30" s="54">
        <v>0.0</v>
      </c>
      <c r="V30" s="55">
        <v>300.0</v>
      </c>
      <c r="X30" s="56">
        <f>AVERAGE(N30:N31)</f>
        <v>259.5</v>
      </c>
      <c r="AB30" s="56">
        <f>AVERAGE(R30:R31)</f>
        <v>105.5</v>
      </c>
    </row>
    <row r="31">
      <c r="C31" s="49" t="s">
        <v>28</v>
      </c>
      <c r="D31" s="52">
        <v>6.0</v>
      </c>
      <c r="E31" s="52">
        <v>10.0</v>
      </c>
      <c r="F31" s="52">
        <v>300.0</v>
      </c>
      <c r="G31" s="53" t="s">
        <v>29</v>
      </c>
      <c r="H31" s="60">
        <v>0.0</v>
      </c>
      <c r="I31" s="54">
        <v>0.0</v>
      </c>
      <c r="J31" s="55">
        <v>300.0</v>
      </c>
      <c r="K31" s="53" t="s">
        <v>30</v>
      </c>
      <c r="L31" s="54">
        <v>7.0</v>
      </c>
      <c r="M31" s="54">
        <v>13.0</v>
      </c>
      <c r="N31" s="55">
        <v>300.0</v>
      </c>
      <c r="O31" s="53" t="s">
        <v>31</v>
      </c>
      <c r="P31" s="54">
        <v>8.0</v>
      </c>
      <c r="Q31" s="54">
        <v>2.0</v>
      </c>
      <c r="R31" s="55">
        <v>66.0</v>
      </c>
      <c r="S31" s="53" t="s">
        <v>32</v>
      </c>
      <c r="T31" s="54">
        <v>8.0</v>
      </c>
      <c r="U31" s="54">
        <v>13.0</v>
      </c>
      <c r="V31" s="55">
        <v>267.0</v>
      </c>
    </row>
    <row r="32">
      <c r="C32" s="57" t="s">
        <v>33</v>
      </c>
      <c r="F32" s="58">
        <f>AVERAGE(F28:F31)</f>
        <v>278</v>
      </c>
      <c r="G32" s="57" t="s">
        <v>33</v>
      </c>
      <c r="J32" s="58">
        <f>AVERAGE(J28:J31)</f>
        <v>300</v>
      </c>
      <c r="K32" s="57" t="s">
        <v>33</v>
      </c>
      <c r="N32" s="58">
        <f>AVERAGE(N28:N31)</f>
        <v>279.75</v>
      </c>
      <c r="O32" s="57" t="s">
        <v>33</v>
      </c>
      <c r="R32" s="58">
        <f>AVERAGE(R28:R31)</f>
        <v>202.75</v>
      </c>
      <c r="S32" s="57" t="s">
        <v>33</v>
      </c>
      <c r="V32" s="58">
        <f>AVERAGE(V28:V31)</f>
        <v>291.75</v>
      </c>
    </row>
    <row r="33">
      <c r="A33" s="49" t="s">
        <v>39</v>
      </c>
      <c r="B33" s="51" t="s">
        <v>12</v>
      </c>
      <c r="C33" s="49" t="s">
        <v>13</v>
      </c>
      <c r="D33" s="52">
        <v>8.0</v>
      </c>
      <c r="E33" s="52">
        <v>2.0</v>
      </c>
      <c r="F33" s="52">
        <v>81.0</v>
      </c>
      <c r="G33" s="53" t="s">
        <v>14</v>
      </c>
      <c r="H33" s="54">
        <v>0.0</v>
      </c>
      <c r="I33" s="54">
        <v>0.0</v>
      </c>
      <c r="J33" s="55">
        <v>300.0</v>
      </c>
      <c r="K33" s="53" t="s">
        <v>15</v>
      </c>
      <c r="L33" s="54">
        <v>4.0</v>
      </c>
      <c r="M33" s="54">
        <v>0.0</v>
      </c>
      <c r="N33" s="55">
        <v>300.0</v>
      </c>
      <c r="O33" s="53" t="s">
        <v>16</v>
      </c>
      <c r="P33" s="54">
        <v>0.0</v>
      </c>
      <c r="Q33" s="54">
        <v>0.0</v>
      </c>
      <c r="R33" s="55">
        <v>300.0</v>
      </c>
      <c r="S33" s="53" t="s">
        <v>17</v>
      </c>
      <c r="T33" s="54">
        <v>6.0</v>
      </c>
      <c r="U33" s="54">
        <v>8.0</v>
      </c>
      <c r="V33" s="55">
        <v>300.0</v>
      </c>
      <c r="X33" s="56">
        <f>AVERAGE(N33:N34)</f>
        <v>279</v>
      </c>
      <c r="AB33" s="56">
        <f>AVERAGE(R33:R34)</f>
        <v>300</v>
      </c>
    </row>
    <row r="34">
      <c r="C34" s="49" t="s">
        <v>18</v>
      </c>
      <c r="D34" s="52">
        <v>7.0</v>
      </c>
      <c r="E34" s="52">
        <v>10.0</v>
      </c>
      <c r="F34" s="52">
        <v>300.0</v>
      </c>
      <c r="G34" s="53" t="s">
        <v>19</v>
      </c>
      <c r="H34" s="54">
        <v>8.0</v>
      </c>
      <c r="I34" s="54">
        <v>11.0</v>
      </c>
      <c r="J34" s="55">
        <v>278.0</v>
      </c>
      <c r="K34" s="53" t="s">
        <v>20</v>
      </c>
      <c r="L34" s="54">
        <v>8.0</v>
      </c>
      <c r="M34" s="54">
        <v>6.0</v>
      </c>
      <c r="N34" s="55">
        <v>258.0</v>
      </c>
      <c r="O34" s="53" t="s">
        <v>21</v>
      </c>
      <c r="P34" s="54">
        <v>6.0</v>
      </c>
      <c r="Q34" s="54">
        <v>7.0</v>
      </c>
      <c r="R34" s="55">
        <v>300.0</v>
      </c>
      <c r="S34" s="53" t="s">
        <v>22</v>
      </c>
      <c r="T34" s="54">
        <v>8.0</v>
      </c>
      <c r="U34" s="54">
        <v>1.0</v>
      </c>
      <c r="V34" s="55">
        <v>217.0</v>
      </c>
    </row>
    <row r="35">
      <c r="C35" s="49" t="s">
        <v>23</v>
      </c>
      <c r="D35" s="52">
        <v>7.0</v>
      </c>
      <c r="E35" s="52">
        <v>13.0</v>
      </c>
      <c r="F35" s="52">
        <v>300.0</v>
      </c>
      <c r="G35" s="53" t="s">
        <v>24</v>
      </c>
      <c r="H35" s="54">
        <v>7.0</v>
      </c>
      <c r="I35" s="54">
        <v>1.0</v>
      </c>
      <c r="J35" s="55">
        <v>300.0</v>
      </c>
      <c r="K35" s="53" t="s">
        <v>25</v>
      </c>
      <c r="L35" s="54">
        <v>8.0</v>
      </c>
      <c r="M35" s="54">
        <v>1.0</v>
      </c>
      <c r="N35" s="55">
        <v>89.0</v>
      </c>
      <c r="O35" s="53" t="s">
        <v>26</v>
      </c>
      <c r="P35" s="54">
        <v>8.0</v>
      </c>
      <c r="Q35" s="54">
        <v>10.0</v>
      </c>
      <c r="R35" s="55">
        <v>262.0</v>
      </c>
      <c r="S35" s="53" t="s">
        <v>27</v>
      </c>
      <c r="T35" s="54">
        <v>2.0</v>
      </c>
      <c r="U35" s="54">
        <v>0.0</v>
      </c>
      <c r="V35" s="55">
        <v>300.0</v>
      </c>
      <c r="X35" s="56">
        <f>AVERAGE(N35:N36)</f>
        <v>133.5</v>
      </c>
      <c r="AB35" s="56">
        <f>AVERAGE(R35:R36)</f>
        <v>281</v>
      </c>
    </row>
    <row r="36">
      <c r="C36" s="49" t="s">
        <v>28</v>
      </c>
      <c r="D36" s="52">
        <v>6.0</v>
      </c>
      <c r="E36" s="52">
        <v>4.0</v>
      </c>
      <c r="F36" s="52">
        <v>300.0</v>
      </c>
      <c r="G36" s="53" t="s">
        <v>29</v>
      </c>
      <c r="H36" s="54">
        <v>1.0</v>
      </c>
      <c r="I36" s="54">
        <v>0.0</v>
      </c>
      <c r="J36" s="55">
        <v>300.0</v>
      </c>
      <c r="K36" s="53" t="s">
        <v>30</v>
      </c>
      <c r="L36" s="54">
        <v>8.0</v>
      </c>
      <c r="M36" s="54">
        <v>3.0</v>
      </c>
      <c r="N36" s="55">
        <v>178.0</v>
      </c>
      <c r="O36" s="53" t="s">
        <v>31</v>
      </c>
      <c r="P36" s="54">
        <v>7.0</v>
      </c>
      <c r="Q36" s="54">
        <v>15.0</v>
      </c>
      <c r="R36" s="55">
        <v>300.0</v>
      </c>
      <c r="S36" s="53" t="s">
        <v>32</v>
      </c>
      <c r="T36" s="54">
        <v>8.0</v>
      </c>
      <c r="U36" s="54">
        <v>11.0</v>
      </c>
      <c r="V36" s="55">
        <v>293.0</v>
      </c>
    </row>
    <row r="37">
      <c r="C37" s="57" t="s">
        <v>33</v>
      </c>
      <c r="F37" s="58">
        <f>AVERAGE(F33:F36)</f>
        <v>245.25</v>
      </c>
      <c r="G37" s="57" t="s">
        <v>33</v>
      </c>
      <c r="J37" s="58">
        <f>AVERAGE(J33:J36)</f>
        <v>294.5</v>
      </c>
      <c r="K37" s="57" t="s">
        <v>33</v>
      </c>
      <c r="N37" s="58">
        <f>AVERAGE(N33:N36)</f>
        <v>206.25</v>
      </c>
      <c r="O37" s="57" t="s">
        <v>33</v>
      </c>
      <c r="R37" s="58">
        <f>AVERAGE(R33:R36)</f>
        <v>290.5</v>
      </c>
      <c r="S37" s="57" t="s">
        <v>33</v>
      </c>
      <c r="V37" s="58">
        <f>AVERAGE(V33:V36)</f>
        <v>277.5</v>
      </c>
    </row>
    <row r="38">
      <c r="A38" s="49" t="s">
        <v>40</v>
      </c>
      <c r="B38" s="51" t="s">
        <v>12</v>
      </c>
      <c r="C38" s="49" t="s">
        <v>13</v>
      </c>
      <c r="D38" s="52">
        <v>6.0</v>
      </c>
      <c r="E38" s="52">
        <v>9.0</v>
      </c>
      <c r="F38" s="52">
        <v>300.0</v>
      </c>
      <c r="G38" s="53" t="s">
        <v>14</v>
      </c>
      <c r="H38" s="54">
        <v>2.0</v>
      </c>
      <c r="I38" s="54">
        <v>1.0</v>
      </c>
      <c r="J38" s="55">
        <v>300.0</v>
      </c>
      <c r="K38" s="53" t="s">
        <v>15</v>
      </c>
      <c r="L38" s="54">
        <v>3.0</v>
      </c>
      <c r="M38" s="54">
        <v>0.0</v>
      </c>
      <c r="N38" s="55">
        <v>300.0</v>
      </c>
      <c r="O38" s="53" t="s">
        <v>16</v>
      </c>
      <c r="P38" s="54">
        <v>5.0</v>
      </c>
      <c r="Q38" s="54">
        <v>0.0</v>
      </c>
      <c r="R38" s="55">
        <v>147.0</v>
      </c>
      <c r="S38" s="53" t="s">
        <v>17</v>
      </c>
      <c r="T38" s="54">
        <v>8.0</v>
      </c>
      <c r="U38" s="54">
        <v>0.0</v>
      </c>
      <c r="V38" s="55">
        <v>129.0</v>
      </c>
      <c r="X38" s="56">
        <f>AVERAGE(N38:N39)</f>
        <v>276.5</v>
      </c>
      <c r="AB38" s="56">
        <f>AVERAGE(R38:R39)</f>
        <v>223.5</v>
      </c>
    </row>
    <row r="39">
      <c r="C39" s="49" t="s">
        <v>18</v>
      </c>
      <c r="D39" s="52">
        <v>7.0</v>
      </c>
      <c r="E39" s="52">
        <v>7.0</v>
      </c>
      <c r="F39" s="52">
        <v>300.0</v>
      </c>
      <c r="G39" s="53" t="s">
        <v>19</v>
      </c>
      <c r="H39" s="54">
        <v>8.0</v>
      </c>
      <c r="I39" s="54">
        <v>3.0</v>
      </c>
      <c r="J39" s="55">
        <v>188.0</v>
      </c>
      <c r="K39" s="53" t="s">
        <v>20</v>
      </c>
      <c r="L39" s="54">
        <v>8.0</v>
      </c>
      <c r="M39" s="54">
        <v>8.0</v>
      </c>
      <c r="N39" s="55">
        <v>253.0</v>
      </c>
      <c r="O39" s="53" t="s">
        <v>21</v>
      </c>
      <c r="P39" s="54">
        <v>7.0</v>
      </c>
      <c r="Q39" s="54">
        <v>8.0</v>
      </c>
      <c r="R39" s="55">
        <v>300.0</v>
      </c>
      <c r="S39" s="53" t="s">
        <v>22</v>
      </c>
      <c r="T39" s="54">
        <v>8.0</v>
      </c>
      <c r="U39" s="54">
        <v>2.0</v>
      </c>
      <c r="V39" s="55">
        <v>299.0</v>
      </c>
    </row>
    <row r="40">
      <c r="C40" s="49" t="s">
        <v>23</v>
      </c>
      <c r="D40" s="52">
        <v>4.0</v>
      </c>
      <c r="E40" s="52">
        <v>3.0</v>
      </c>
      <c r="F40" s="52">
        <v>300.0</v>
      </c>
      <c r="G40" s="53" t="s">
        <v>24</v>
      </c>
      <c r="H40" s="54">
        <v>5.0</v>
      </c>
      <c r="I40" s="54">
        <v>5.0</v>
      </c>
      <c r="J40" s="55">
        <v>300.0</v>
      </c>
      <c r="K40" s="53" t="s">
        <v>25</v>
      </c>
      <c r="L40" s="54">
        <v>8.0</v>
      </c>
      <c r="M40" s="54">
        <v>9.0</v>
      </c>
      <c r="N40" s="55">
        <v>190.0</v>
      </c>
      <c r="O40" s="53" t="s">
        <v>26</v>
      </c>
      <c r="P40" s="54">
        <v>8.0</v>
      </c>
      <c r="Q40" s="54">
        <v>6.0</v>
      </c>
      <c r="R40" s="55">
        <v>147.0</v>
      </c>
      <c r="S40" s="53" t="s">
        <v>27</v>
      </c>
      <c r="T40" s="54">
        <v>6.0</v>
      </c>
      <c r="U40" s="54">
        <v>3.0</v>
      </c>
      <c r="V40" s="55">
        <v>300.0</v>
      </c>
      <c r="X40" s="56">
        <f>AVERAGE(N40:N41)</f>
        <v>150.5</v>
      </c>
      <c r="AB40" s="56">
        <f>AVERAGE(R40:R41)</f>
        <v>106</v>
      </c>
    </row>
    <row r="41">
      <c r="C41" s="49" t="s">
        <v>28</v>
      </c>
      <c r="D41" s="52">
        <v>8.0</v>
      </c>
      <c r="E41" s="52">
        <v>6.0</v>
      </c>
      <c r="F41" s="52">
        <v>141.0</v>
      </c>
      <c r="G41" s="53" t="s">
        <v>29</v>
      </c>
      <c r="H41" s="54">
        <v>5.0</v>
      </c>
      <c r="I41" s="54">
        <v>1.0</v>
      </c>
      <c r="J41" s="55">
        <v>300.0</v>
      </c>
      <c r="K41" s="53" t="s">
        <v>30</v>
      </c>
      <c r="L41" s="54">
        <v>8.0</v>
      </c>
      <c r="M41" s="54">
        <v>1.0</v>
      </c>
      <c r="N41" s="55">
        <v>111.0</v>
      </c>
      <c r="O41" s="53" t="s">
        <v>31</v>
      </c>
      <c r="P41" s="54">
        <v>8.0</v>
      </c>
      <c r="Q41" s="54">
        <v>1.0</v>
      </c>
      <c r="R41" s="55">
        <v>65.0</v>
      </c>
      <c r="S41" s="53" t="s">
        <v>32</v>
      </c>
      <c r="T41" s="54">
        <v>8.0</v>
      </c>
      <c r="U41" s="54">
        <v>6.0</v>
      </c>
      <c r="V41" s="55">
        <v>236.0</v>
      </c>
    </row>
    <row r="42">
      <c r="C42" s="57" t="s">
        <v>33</v>
      </c>
      <c r="F42" s="58">
        <f>AVERAGE(F38:F41)</f>
        <v>260.25</v>
      </c>
      <c r="G42" s="57" t="s">
        <v>33</v>
      </c>
      <c r="J42" s="58">
        <f>AVERAGE(J38:J41)</f>
        <v>272</v>
      </c>
      <c r="K42" s="57" t="s">
        <v>33</v>
      </c>
      <c r="N42" s="58">
        <f>AVERAGE(N38:N41)</f>
        <v>213.5</v>
      </c>
      <c r="O42" s="57" t="s">
        <v>33</v>
      </c>
      <c r="R42" s="58">
        <f>AVERAGE(R38:R41)</f>
        <v>164.75</v>
      </c>
      <c r="S42" s="57" t="s">
        <v>33</v>
      </c>
      <c r="V42" s="58">
        <f>AVERAGE(V38:V41)</f>
        <v>241</v>
      </c>
    </row>
    <row r="43">
      <c r="A43" s="49" t="s">
        <v>41</v>
      </c>
      <c r="B43" s="51" t="s">
        <v>12</v>
      </c>
      <c r="C43" s="49" t="s">
        <v>13</v>
      </c>
      <c r="D43" s="52">
        <v>7.0</v>
      </c>
      <c r="E43" s="52">
        <v>7.0</v>
      </c>
      <c r="F43" s="52">
        <v>300.0</v>
      </c>
      <c r="G43" s="53" t="s">
        <v>14</v>
      </c>
      <c r="H43" s="54">
        <v>4.0</v>
      </c>
      <c r="I43" s="54">
        <v>300.0</v>
      </c>
      <c r="J43" s="54">
        <v>300.0</v>
      </c>
      <c r="K43" s="53" t="s">
        <v>15</v>
      </c>
      <c r="L43" s="60">
        <v>0.0</v>
      </c>
      <c r="M43" s="54">
        <v>0.0</v>
      </c>
      <c r="N43" s="55">
        <v>300.0</v>
      </c>
      <c r="O43" s="53" t="s">
        <v>16</v>
      </c>
      <c r="P43" s="54">
        <v>7.0</v>
      </c>
      <c r="Q43" s="54">
        <v>4.0</v>
      </c>
      <c r="R43" s="55">
        <v>300.0</v>
      </c>
      <c r="S43" s="53" t="s">
        <v>17</v>
      </c>
      <c r="T43" s="54">
        <v>8.0</v>
      </c>
      <c r="U43" s="54">
        <v>1.0</v>
      </c>
      <c r="V43" s="55">
        <v>123.0</v>
      </c>
      <c r="X43" s="56">
        <f>AVERAGE(N43:N44)</f>
        <v>211</v>
      </c>
      <c r="AB43" s="56">
        <f>AVERAGE(R43:R44)</f>
        <v>260.5</v>
      </c>
    </row>
    <row r="44">
      <c r="C44" s="49" t="s">
        <v>18</v>
      </c>
      <c r="D44" s="52">
        <v>8.0</v>
      </c>
      <c r="E44" s="52">
        <v>5.0</v>
      </c>
      <c r="F44" s="52">
        <v>193.0</v>
      </c>
      <c r="G44" s="53" t="s">
        <v>19</v>
      </c>
      <c r="H44" s="54">
        <v>8.0</v>
      </c>
      <c r="I44" s="54">
        <v>113.0</v>
      </c>
      <c r="J44" s="54">
        <v>113.0</v>
      </c>
      <c r="K44" s="53" t="s">
        <v>20</v>
      </c>
      <c r="L44" s="54">
        <v>8.0</v>
      </c>
      <c r="M44" s="54">
        <v>1.0</v>
      </c>
      <c r="N44" s="55">
        <v>122.0</v>
      </c>
      <c r="O44" s="53" t="s">
        <v>21</v>
      </c>
      <c r="P44" s="54">
        <v>8.0</v>
      </c>
      <c r="Q44" s="54">
        <v>12.0</v>
      </c>
      <c r="R44" s="55">
        <v>221.0</v>
      </c>
      <c r="S44" s="53" t="s">
        <v>22</v>
      </c>
      <c r="T44" s="54">
        <v>7.0</v>
      </c>
      <c r="U44" s="54">
        <v>9.0</v>
      </c>
      <c r="V44" s="55">
        <v>300.0</v>
      </c>
    </row>
    <row r="45">
      <c r="C45" s="49" t="s">
        <v>23</v>
      </c>
      <c r="D45" s="52">
        <v>8.0</v>
      </c>
      <c r="E45" s="52">
        <v>2.0</v>
      </c>
      <c r="F45" s="52">
        <v>101.0</v>
      </c>
      <c r="G45" s="53" t="s">
        <v>24</v>
      </c>
      <c r="H45" s="54">
        <v>5.0</v>
      </c>
      <c r="I45" s="54">
        <v>300.0</v>
      </c>
      <c r="J45" s="54">
        <v>300.0</v>
      </c>
      <c r="K45" s="53" t="s">
        <v>25</v>
      </c>
      <c r="L45" s="54">
        <v>8.0</v>
      </c>
      <c r="M45" s="54">
        <v>6.0</v>
      </c>
      <c r="N45" s="55">
        <v>171.0</v>
      </c>
      <c r="O45" s="53" t="s">
        <v>26</v>
      </c>
      <c r="P45" s="54">
        <v>8.0</v>
      </c>
      <c r="Q45" s="54">
        <v>12.0</v>
      </c>
      <c r="R45" s="55">
        <v>255.0</v>
      </c>
      <c r="S45" s="53" t="s">
        <v>27</v>
      </c>
      <c r="T45" s="54">
        <v>7.0</v>
      </c>
      <c r="U45" s="54">
        <v>7.0</v>
      </c>
      <c r="V45" s="55">
        <v>300.0</v>
      </c>
      <c r="X45" s="56">
        <f>AVERAGE(N45:N46)</f>
        <v>235.5</v>
      </c>
      <c r="AB45" s="56">
        <f>AVERAGE(R45:R46)</f>
        <v>191</v>
      </c>
    </row>
    <row r="46">
      <c r="C46" s="49" t="s">
        <v>28</v>
      </c>
      <c r="D46" s="52">
        <v>6.0</v>
      </c>
      <c r="E46" s="52">
        <v>3.0</v>
      </c>
      <c r="F46" s="52">
        <v>300.0</v>
      </c>
      <c r="G46" s="53" t="s">
        <v>29</v>
      </c>
      <c r="H46" s="54">
        <v>8.0</v>
      </c>
      <c r="I46" s="54">
        <v>235.0</v>
      </c>
      <c r="J46" s="54">
        <v>235.0</v>
      </c>
      <c r="K46" s="53" t="s">
        <v>30</v>
      </c>
      <c r="L46" s="54">
        <v>7.0</v>
      </c>
      <c r="M46" s="54">
        <v>14.0</v>
      </c>
      <c r="N46" s="55">
        <v>300.0</v>
      </c>
      <c r="O46" s="53" t="s">
        <v>31</v>
      </c>
      <c r="P46" s="54">
        <v>8.0</v>
      </c>
      <c r="Q46" s="54">
        <v>2.0</v>
      </c>
      <c r="R46" s="55">
        <v>127.0</v>
      </c>
      <c r="S46" s="53" t="s">
        <v>32</v>
      </c>
      <c r="T46" s="54">
        <v>8.0</v>
      </c>
      <c r="U46" s="54">
        <v>3.0</v>
      </c>
      <c r="V46" s="55">
        <v>187.0</v>
      </c>
    </row>
    <row r="47">
      <c r="C47" s="57" t="s">
        <v>33</v>
      </c>
      <c r="F47" s="58">
        <f>AVERAGE(F43:F46)</f>
        <v>223.5</v>
      </c>
      <c r="G47" s="57" t="s">
        <v>33</v>
      </c>
      <c r="J47" s="58">
        <f>AVERAGE(J43:J46)</f>
        <v>237</v>
      </c>
      <c r="K47" s="57" t="s">
        <v>33</v>
      </c>
      <c r="N47" s="58">
        <f>AVERAGE(N43:N46)</f>
        <v>223.25</v>
      </c>
      <c r="O47" s="57" t="s">
        <v>33</v>
      </c>
      <c r="R47" s="58">
        <f>AVERAGE(R43:R46)</f>
        <v>225.75</v>
      </c>
      <c r="S47" s="57" t="s">
        <v>33</v>
      </c>
      <c r="V47" s="58">
        <f>AVERAGE(V43:V46)</f>
        <v>227.5</v>
      </c>
    </row>
    <row r="48">
      <c r="A48" s="49" t="s">
        <v>42</v>
      </c>
      <c r="B48" s="51" t="s">
        <v>12</v>
      </c>
      <c r="C48" s="49" t="s">
        <v>13</v>
      </c>
      <c r="D48" s="52">
        <v>6.0</v>
      </c>
      <c r="E48" s="52">
        <v>5.0</v>
      </c>
      <c r="F48" s="52">
        <v>300.0</v>
      </c>
      <c r="G48" s="53" t="s">
        <v>14</v>
      </c>
      <c r="H48" s="54">
        <v>5.0</v>
      </c>
      <c r="I48" s="54">
        <v>4.0</v>
      </c>
      <c r="J48" s="55">
        <v>300.0</v>
      </c>
      <c r="K48" s="53" t="s">
        <v>15</v>
      </c>
      <c r="L48" s="54">
        <v>3.0</v>
      </c>
      <c r="M48" s="54">
        <v>300.0</v>
      </c>
      <c r="N48" s="54">
        <v>300.0</v>
      </c>
      <c r="O48" s="53" t="s">
        <v>16</v>
      </c>
      <c r="P48" s="54">
        <v>7.0</v>
      </c>
      <c r="Q48" s="54">
        <v>6.0</v>
      </c>
      <c r="R48" s="55">
        <v>300.0</v>
      </c>
      <c r="S48" s="53" t="s">
        <v>17</v>
      </c>
      <c r="T48" s="54">
        <v>7.0</v>
      </c>
      <c r="U48" s="54">
        <v>16.0</v>
      </c>
      <c r="V48" s="55">
        <v>300.0</v>
      </c>
      <c r="X48" s="56">
        <f>AVERAGE(N48:N49)</f>
        <v>224</v>
      </c>
      <c r="AB48" s="56">
        <f>AVERAGE(R48:R49)</f>
        <v>263</v>
      </c>
    </row>
    <row r="49">
      <c r="C49" s="49" t="s">
        <v>18</v>
      </c>
      <c r="D49" s="52">
        <v>6.0</v>
      </c>
      <c r="E49" s="52">
        <v>5.0</v>
      </c>
      <c r="F49" s="52">
        <v>300.0</v>
      </c>
      <c r="G49" s="53" t="s">
        <v>19</v>
      </c>
      <c r="H49" s="54">
        <v>8.0</v>
      </c>
      <c r="I49" s="54">
        <v>2.0</v>
      </c>
      <c r="J49" s="55">
        <v>111.0</v>
      </c>
      <c r="K49" s="53" t="s">
        <v>20</v>
      </c>
      <c r="L49" s="54">
        <v>8.0</v>
      </c>
      <c r="M49" s="54">
        <v>148.0</v>
      </c>
      <c r="N49" s="54">
        <v>148.0</v>
      </c>
      <c r="O49" s="53" t="s">
        <v>21</v>
      </c>
      <c r="P49" s="54">
        <v>8.0</v>
      </c>
      <c r="Q49" s="54">
        <v>12.0</v>
      </c>
      <c r="R49" s="55">
        <v>226.0</v>
      </c>
      <c r="S49" s="53" t="s">
        <v>22</v>
      </c>
      <c r="T49" s="54">
        <v>7.0</v>
      </c>
      <c r="U49" s="54">
        <v>7.0</v>
      </c>
      <c r="V49" s="55">
        <v>300.0</v>
      </c>
    </row>
    <row r="50">
      <c r="C50" s="49" t="s">
        <v>23</v>
      </c>
      <c r="D50" s="52">
        <v>8.0</v>
      </c>
      <c r="E50" s="52">
        <v>4.0</v>
      </c>
      <c r="F50" s="52">
        <v>178.0</v>
      </c>
      <c r="G50" s="53" t="s">
        <v>24</v>
      </c>
      <c r="H50" s="54">
        <v>8.0</v>
      </c>
      <c r="I50" s="54">
        <v>3.0</v>
      </c>
      <c r="J50" s="55">
        <v>197.0</v>
      </c>
      <c r="K50" s="53" t="s">
        <v>25</v>
      </c>
      <c r="L50" s="54">
        <v>8.0</v>
      </c>
      <c r="M50" s="54">
        <v>133.0</v>
      </c>
      <c r="N50" s="54">
        <v>133.0</v>
      </c>
      <c r="O50" s="53" t="s">
        <v>26</v>
      </c>
      <c r="P50" s="54">
        <v>8.0</v>
      </c>
      <c r="Q50" s="54">
        <v>15.0</v>
      </c>
      <c r="R50" s="55">
        <v>300.0</v>
      </c>
      <c r="S50" s="53" t="s">
        <v>27</v>
      </c>
      <c r="T50" s="54">
        <v>7.0</v>
      </c>
      <c r="U50" s="54">
        <v>12.0</v>
      </c>
      <c r="V50" s="55">
        <v>300.0</v>
      </c>
      <c r="X50" s="56">
        <f>AVERAGE(N50:N51)</f>
        <v>188.5</v>
      </c>
      <c r="AB50" s="56">
        <f>AVERAGE(R50:R51)</f>
        <v>238</v>
      </c>
    </row>
    <row r="51">
      <c r="C51" s="49" t="s">
        <v>28</v>
      </c>
      <c r="D51" s="52">
        <v>8.0</v>
      </c>
      <c r="E51" s="52">
        <v>7.0</v>
      </c>
      <c r="F51" s="52">
        <v>220.0</v>
      </c>
      <c r="G51" s="53" t="s">
        <v>29</v>
      </c>
      <c r="H51" s="54">
        <v>8.0</v>
      </c>
      <c r="I51" s="54">
        <v>6.0</v>
      </c>
      <c r="J51" s="55">
        <v>197.0</v>
      </c>
      <c r="K51" s="53" t="s">
        <v>30</v>
      </c>
      <c r="L51" s="54">
        <v>8.0</v>
      </c>
      <c r="M51" s="54">
        <v>244.0</v>
      </c>
      <c r="N51" s="54">
        <v>244.0</v>
      </c>
      <c r="O51" s="53" t="s">
        <v>31</v>
      </c>
      <c r="P51" s="54">
        <v>8.0</v>
      </c>
      <c r="Q51" s="54">
        <v>8.0</v>
      </c>
      <c r="R51" s="55">
        <v>176.0</v>
      </c>
      <c r="S51" s="53" t="s">
        <v>32</v>
      </c>
      <c r="T51" s="54">
        <v>7.0</v>
      </c>
      <c r="U51" s="54">
        <v>13.0</v>
      </c>
      <c r="V51" s="55">
        <v>300.0</v>
      </c>
    </row>
    <row r="52">
      <c r="C52" s="57" t="s">
        <v>33</v>
      </c>
      <c r="F52" s="58">
        <f>AVERAGE(F48:F51)</f>
        <v>249.5</v>
      </c>
      <c r="G52" s="57" t="s">
        <v>33</v>
      </c>
      <c r="J52" s="58">
        <f>AVERAGE(J48:J51)</f>
        <v>201.25</v>
      </c>
      <c r="K52" s="57" t="s">
        <v>33</v>
      </c>
      <c r="N52" s="58">
        <f>AVERAGE(N48:N51)</f>
        <v>206.25</v>
      </c>
      <c r="O52" s="57" t="s">
        <v>33</v>
      </c>
      <c r="R52" s="58">
        <f>AVERAGE(R48:R51)</f>
        <v>250.5</v>
      </c>
      <c r="S52" s="57" t="s">
        <v>33</v>
      </c>
      <c r="V52" s="58">
        <f>AVERAGE(V48:V51)</f>
        <v>300</v>
      </c>
    </row>
    <row r="53">
      <c r="A53" s="48" t="s">
        <v>43</v>
      </c>
      <c r="B53" s="51" t="s">
        <v>12</v>
      </c>
      <c r="C53" s="49" t="s">
        <v>13</v>
      </c>
      <c r="D53" s="52">
        <v>8.0</v>
      </c>
      <c r="E53" s="52">
        <v>16.0</v>
      </c>
      <c r="F53" s="52">
        <v>289.0</v>
      </c>
      <c r="G53" s="53" t="s">
        <v>14</v>
      </c>
      <c r="H53" s="54">
        <v>6.0</v>
      </c>
      <c r="I53" s="54">
        <v>1.0</v>
      </c>
      <c r="J53" s="55">
        <v>300.0</v>
      </c>
      <c r="K53" s="53" t="s">
        <v>15</v>
      </c>
      <c r="L53" s="54">
        <v>0.0</v>
      </c>
      <c r="M53" s="54">
        <v>0.0</v>
      </c>
      <c r="N53" s="55">
        <v>300.0</v>
      </c>
      <c r="O53" s="53" t="s">
        <v>16</v>
      </c>
      <c r="P53" s="54">
        <v>3.0</v>
      </c>
      <c r="Q53" s="54">
        <v>0.0</v>
      </c>
      <c r="R53" s="55">
        <v>300.0</v>
      </c>
      <c r="S53" s="53" t="s">
        <v>17</v>
      </c>
      <c r="T53" s="54">
        <v>5.0</v>
      </c>
      <c r="U53" s="54">
        <v>3.0</v>
      </c>
      <c r="V53" s="55">
        <v>300.0</v>
      </c>
      <c r="X53" s="56">
        <f>AVERAGE(N53:N54)</f>
        <v>286</v>
      </c>
      <c r="AB53" s="56">
        <f>AVERAGE(R53:R54)</f>
        <v>300</v>
      </c>
    </row>
    <row r="54">
      <c r="C54" s="49" t="s">
        <v>18</v>
      </c>
      <c r="D54" s="52">
        <v>8.0</v>
      </c>
      <c r="E54" s="52">
        <v>3.0</v>
      </c>
      <c r="F54" s="52">
        <v>101.0</v>
      </c>
      <c r="G54" s="53" t="s">
        <v>19</v>
      </c>
      <c r="H54" s="60">
        <v>6.0</v>
      </c>
      <c r="I54" s="54">
        <v>14.0</v>
      </c>
      <c r="J54" s="55">
        <v>300.0</v>
      </c>
      <c r="K54" s="53" t="s">
        <v>20</v>
      </c>
      <c r="L54" s="54">
        <v>8.0</v>
      </c>
      <c r="M54" s="54">
        <v>6.0</v>
      </c>
      <c r="N54" s="55">
        <v>272.0</v>
      </c>
      <c r="O54" s="53" t="s">
        <v>21</v>
      </c>
      <c r="P54" s="54">
        <v>6.0</v>
      </c>
      <c r="Q54" s="54">
        <v>2.0</v>
      </c>
      <c r="R54" s="55">
        <v>300.0</v>
      </c>
      <c r="S54" s="53" t="s">
        <v>22</v>
      </c>
      <c r="T54" s="54">
        <v>4.0</v>
      </c>
      <c r="U54" s="54">
        <v>0.0</v>
      </c>
      <c r="V54" s="55">
        <v>300.0</v>
      </c>
    </row>
    <row r="55">
      <c r="C55" s="49" t="s">
        <v>23</v>
      </c>
      <c r="D55" s="52">
        <v>8.0</v>
      </c>
      <c r="E55" s="52">
        <v>9.0</v>
      </c>
      <c r="F55" s="52">
        <v>143.0</v>
      </c>
      <c r="G55" s="53" t="s">
        <v>24</v>
      </c>
      <c r="H55" s="54">
        <v>3.0</v>
      </c>
      <c r="I55" s="54">
        <v>1.0</v>
      </c>
      <c r="J55" s="55">
        <v>300.0</v>
      </c>
      <c r="K55" s="53" t="s">
        <v>25</v>
      </c>
      <c r="L55" s="54">
        <v>7.0</v>
      </c>
      <c r="M55" s="54">
        <v>22.0</v>
      </c>
      <c r="N55" s="55">
        <v>300.0</v>
      </c>
      <c r="O55" s="53" t="s">
        <v>26</v>
      </c>
      <c r="P55" s="54">
        <v>7.0</v>
      </c>
      <c r="Q55" s="54">
        <v>9.0</v>
      </c>
      <c r="R55" s="55">
        <v>300.0</v>
      </c>
      <c r="S55" s="53" t="s">
        <v>27</v>
      </c>
      <c r="T55" s="54">
        <v>8.0</v>
      </c>
      <c r="U55" s="54">
        <v>9.0</v>
      </c>
      <c r="V55" s="55">
        <v>196.0</v>
      </c>
      <c r="X55" s="56">
        <f>AVERAGE(N55:N56)</f>
        <v>218</v>
      </c>
      <c r="AB55" s="56">
        <f>AVERAGE(R55:R56)</f>
        <v>275</v>
      </c>
    </row>
    <row r="56">
      <c r="C56" s="49" t="s">
        <v>28</v>
      </c>
      <c r="D56" s="52">
        <v>7.0</v>
      </c>
      <c r="E56" s="52">
        <v>8.0</v>
      </c>
      <c r="F56" s="52">
        <v>300.0</v>
      </c>
      <c r="G56" s="53" t="s">
        <v>29</v>
      </c>
      <c r="H56" s="54">
        <v>7.0</v>
      </c>
      <c r="I56" s="54">
        <v>7.0</v>
      </c>
      <c r="J56" s="55">
        <v>300.0</v>
      </c>
      <c r="K56" s="53" t="s">
        <v>30</v>
      </c>
      <c r="L56" s="54">
        <v>8.0</v>
      </c>
      <c r="M56" s="54">
        <v>4.0</v>
      </c>
      <c r="N56" s="55">
        <v>136.0</v>
      </c>
      <c r="O56" s="53" t="s">
        <v>31</v>
      </c>
      <c r="P56" s="54">
        <v>8.0</v>
      </c>
      <c r="Q56" s="54">
        <v>10.0</v>
      </c>
      <c r="R56" s="55">
        <v>250.0</v>
      </c>
      <c r="S56" s="53" t="s">
        <v>32</v>
      </c>
      <c r="T56" s="54">
        <v>7.0</v>
      </c>
      <c r="U56" s="54">
        <v>7.0</v>
      </c>
      <c r="V56" s="55">
        <v>300.0</v>
      </c>
    </row>
    <row r="57">
      <c r="C57" s="57" t="s">
        <v>33</v>
      </c>
      <c r="F57" s="58">
        <f>AVERAGE(F53:F56)</f>
        <v>208.25</v>
      </c>
      <c r="G57" s="57" t="s">
        <v>33</v>
      </c>
      <c r="J57" s="58">
        <f>AVERAGE(J53:J56)</f>
        <v>300</v>
      </c>
      <c r="K57" s="57" t="s">
        <v>33</v>
      </c>
      <c r="N57" s="58">
        <f>AVERAGE(N53:N56)</f>
        <v>252</v>
      </c>
      <c r="O57" s="57" t="s">
        <v>33</v>
      </c>
      <c r="R57" s="58">
        <f>AVERAGE(R53:R56)</f>
        <v>287.5</v>
      </c>
      <c r="S57" s="57" t="s">
        <v>33</v>
      </c>
      <c r="V57" s="58">
        <f>AVERAGE(V53:V56)</f>
        <v>274</v>
      </c>
    </row>
    <row r="58">
      <c r="A58" s="48" t="s">
        <v>44</v>
      </c>
      <c r="B58" s="51" t="s">
        <v>12</v>
      </c>
      <c r="C58" s="49" t="s">
        <v>13</v>
      </c>
      <c r="D58" s="52">
        <v>8.0</v>
      </c>
      <c r="E58" s="52">
        <v>6.0</v>
      </c>
      <c r="F58" s="52">
        <v>198.0</v>
      </c>
      <c r="G58" s="53" t="s">
        <v>14</v>
      </c>
      <c r="H58" s="54">
        <v>6.0</v>
      </c>
      <c r="I58" s="54">
        <v>8.0</v>
      </c>
      <c r="J58" s="55">
        <v>300.0</v>
      </c>
      <c r="K58" s="53" t="s">
        <v>15</v>
      </c>
      <c r="L58" s="59"/>
      <c r="M58" s="59"/>
      <c r="N58" s="61" t="str">
        <f t="shared" ref="N58:N59" si="1">DIVIDE(MINUS(L58,M58),SUM(L58:M58))</f>
        <v>#DIV/0!</v>
      </c>
      <c r="O58" s="53" t="s">
        <v>16</v>
      </c>
      <c r="P58" s="59"/>
      <c r="Q58" s="59"/>
      <c r="R58" s="61" t="str">
        <f t="shared" ref="R58:R60" si="2">DIVIDE(MINUS(P58,Q58),SUM(P58:Q58))</f>
        <v>#DIV/0!</v>
      </c>
      <c r="S58" s="53" t="s">
        <v>17</v>
      </c>
      <c r="T58" s="54">
        <v>7.0</v>
      </c>
      <c r="U58" s="54">
        <v>10.0</v>
      </c>
      <c r="V58" s="55">
        <v>300.0</v>
      </c>
      <c r="X58" s="14" t="str">
        <f>AVERAGE(N58:N59)</f>
        <v>#DIV/0!</v>
      </c>
      <c r="AB58" s="14" t="str">
        <f>AVERAGE(R58:R59)</f>
        <v>#DIV/0!</v>
      </c>
    </row>
    <row r="59">
      <c r="C59" s="49" t="s">
        <v>18</v>
      </c>
      <c r="D59" s="52">
        <v>5.0</v>
      </c>
      <c r="E59" s="52">
        <v>2.0</v>
      </c>
      <c r="F59" s="52">
        <v>300.0</v>
      </c>
      <c r="G59" s="53" t="s">
        <v>19</v>
      </c>
      <c r="H59" s="54">
        <v>7.0</v>
      </c>
      <c r="I59" s="54">
        <v>19.0</v>
      </c>
      <c r="J59" s="55">
        <v>300.0</v>
      </c>
      <c r="K59" s="53" t="s">
        <v>20</v>
      </c>
      <c r="L59" s="59"/>
      <c r="M59" s="59"/>
      <c r="N59" s="61" t="str">
        <f t="shared" si="1"/>
        <v>#DIV/0!</v>
      </c>
      <c r="O59" s="53" t="s">
        <v>21</v>
      </c>
      <c r="P59" s="59"/>
      <c r="Q59" s="59"/>
      <c r="R59" s="61" t="str">
        <f t="shared" si="2"/>
        <v>#DIV/0!</v>
      </c>
      <c r="S59" s="53" t="s">
        <v>22</v>
      </c>
      <c r="T59" s="54">
        <v>8.0</v>
      </c>
      <c r="U59" s="54">
        <v>2.0</v>
      </c>
      <c r="V59" s="55">
        <v>217.0</v>
      </c>
    </row>
    <row r="60">
      <c r="C60" s="49" t="s">
        <v>23</v>
      </c>
      <c r="D60" s="52">
        <v>8.0</v>
      </c>
      <c r="E60" s="52">
        <v>4.0</v>
      </c>
      <c r="F60" s="52">
        <v>146.0</v>
      </c>
      <c r="G60" s="53" t="s">
        <v>24</v>
      </c>
      <c r="H60" s="54">
        <v>4.0</v>
      </c>
      <c r="I60" s="54">
        <v>1.0</v>
      </c>
      <c r="J60" s="55">
        <v>300.0</v>
      </c>
      <c r="K60" s="53" t="s">
        <v>25</v>
      </c>
      <c r="L60" s="54">
        <v>8.0</v>
      </c>
      <c r="M60" s="54">
        <v>4.0</v>
      </c>
      <c r="N60" s="55">
        <v>124.0</v>
      </c>
      <c r="O60" s="53" t="s">
        <v>26</v>
      </c>
      <c r="P60" s="59"/>
      <c r="Q60" s="59"/>
      <c r="R60" s="61" t="str">
        <f t="shared" si="2"/>
        <v>#DIV/0!</v>
      </c>
      <c r="S60" s="53" t="s">
        <v>27</v>
      </c>
      <c r="T60" s="54">
        <v>7.0</v>
      </c>
      <c r="U60" s="54">
        <v>18.0</v>
      </c>
      <c r="V60" s="55">
        <v>300.0</v>
      </c>
      <c r="X60" s="56">
        <f>AVERAGE(N60:N61)</f>
        <v>100.5</v>
      </c>
      <c r="AB60" s="56">
        <f>AVERAGE(R61)</f>
        <v>189</v>
      </c>
    </row>
    <row r="61">
      <c r="C61" s="49" t="s">
        <v>28</v>
      </c>
      <c r="D61" s="52">
        <v>8.0</v>
      </c>
      <c r="E61" s="52">
        <v>9.0</v>
      </c>
      <c r="F61" s="52">
        <v>152.0</v>
      </c>
      <c r="G61" s="53" t="s">
        <v>29</v>
      </c>
      <c r="H61" s="54">
        <v>8.0</v>
      </c>
      <c r="I61" s="54">
        <v>5.0</v>
      </c>
      <c r="J61" s="55">
        <v>162.0</v>
      </c>
      <c r="K61" s="53" t="s">
        <v>30</v>
      </c>
      <c r="L61" s="54">
        <v>8.0</v>
      </c>
      <c r="M61" s="54">
        <v>1.0</v>
      </c>
      <c r="N61" s="55">
        <v>77.0</v>
      </c>
      <c r="O61" s="53" t="s">
        <v>31</v>
      </c>
      <c r="P61" s="54">
        <v>8.0</v>
      </c>
      <c r="Q61" s="54">
        <v>5.0</v>
      </c>
      <c r="R61" s="55">
        <v>189.0</v>
      </c>
      <c r="S61" s="53" t="s">
        <v>32</v>
      </c>
      <c r="T61" s="54">
        <v>8.0</v>
      </c>
      <c r="U61" s="54">
        <v>8.0</v>
      </c>
      <c r="V61" s="55">
        <v>261.0</v>
      </c>
    </row>
    <row r="62">
      <c r="C62" s="57" t="s">
        <v>33</v>
      </c>
      <c r="F62" s="58">
        <f>AVERAGE(F58:F61)</f>
        <v>199</v>
      </c>
      <c r="G62" s="57" t="s">
        <v>33</v>
      </c>
      <c r="J62" s="58">
        <f>AVERAGE(J58:J61)</f>
        <v>265.5</v>
      </c>
      <c r="K62" s="57" t="s">
        <v>33</v>
      </c>
      <c r="N62" s="58" t="str">
        <f>AVERAGE(N58:N61)</f>
        <v>#DIV/0!</v>
      </c>
      <c r="O62" s="57" t="s">
        <v>33</v>
      </c>
      <c r="R62" s="58" t="str">
        <f>AVERAGE(R58:R61)</f>
        <v>#DIV/0!</v>
      </c>
      <c r="S62" s="57" t="s">
        <v>33</v>
      </c>
      <c r="V62" s="58">
        <f>AVERAGE(V58:V61)</f>
        <v>269.5</v>
      </c>
    </row>
    <row r="63">
      <c r="A63" s="48" t="s">
        <v>45</v>
      </c>
      <c r="B63" s="51" t="s">
        <v>12</v>
      </c>
      <c r="C63" s="49" t="s">
        <v>13</v>
      </c>
      <c r="D63" s="52">
        <v>8.0</v>
      </c>
      <c r="E63" s="52">
        <v>3.0</v>
      </c>
      <c r="F63" s="52">
        <v>104.0</v>
      </c>
      <c r="G63" s="53" t="s">
        <v>14</v>
      </c>
      <c r="H63" s="54">
        <v>8.0</v>
      </c>
      <c r="I63" s="54">
        <v>2.0</v>
      </c>
      <c r="J63" s="55">
        <v>159.0</v>
      </c>
      <c r="K63" s="53" t="s">
        <v>15</v>
      </c>
      <c r="L63" s="59"/>
      <c r="M63" s="59"/>
      <c r="N63" s="61" t="str">
        <f t="shared" ref="N63:N66" si="3">DIVIDE(MINUS(L63,M63),SUM(L63:M63))</f>
        <v>#DIV/0!</v>
      </c>
      <c r="O63" s="53" t="s">
        <v>16</v>
      </c>
      <c r="P63" s="59"/>
      <c r="Q63" s="59"/>
      <c r="R63" s="61" t="str">
        <f t="shared" ref="R63:R66" si="4">DIVIDE(MINUS(P63,Q63),SUM(P63:Q63))</f>
        <v>#DIV/0!</v>
      </c>
      <c r="S63" s="53" t="s">
        <v>17</v>
      </c>
      <c r="T63" s="54"/>
      <c r="U63" s="59"/>
      <c r="V63" s="61" t="str">
        <f>DIVIDE(MINUS(T63,U63),SUM(T63:U63))</f>
        <v>#DIV/0!</v>
      </c>
    </row>
    <row r="64">
      <c r="C64" s="49" t="s">
        <v>18</v>
      </c>
      <c r="D64" s="52">
        <v>8.0</v>
      </c>
      <c r="E64" s="52">
        <v>5.0</v>
      </c>
      <c r="F64" s="52">
        <v>100.0</v>
      </c>
      <c r="G64" s="53" t="s">
        <v>19</v>
      </c>
      <c r="H64" s="54">
        <v>8.0</v>
      </c>
      <c r="I64" s="54">
        <v>3.0</v>
      </c>
      <c r="J64" s="55">
        <v>127.0</v>
      </c>
      <c r="K64" s="53" t="s">
        <v>20</v>
      </c>
      <c r="L64" s="59"/>
      <c r="M64" s="59"/>
      <c r="N64" s="61" t="str">
        <f t="shared" si="3"/>
        <v>#DIV/0!</v>
      </c>
      <c r="O64" s="53" t="s">
        <v>21</v>
      </c>
      <c r="P64" s="59"/>
      <c r="Q64" s="59"/>
      <c r="R64" s="61" t="str">
        <f t="shared" si="4"/>
        <v>#DIV/0!</v>
      </c>
      <c r="S64" s="53" t="s">
        <v>22</v>
      </c>
      <c r="T64" s="54">
        <v>8.0</v>
      </c>
      <c r="U64" s="54">
        <v>7.0</v>
      </c>
      <c r="V64" s="55">
        <v>177.0</v>
      </c>
    </row>
    <row r="65">
      <c r="C65" s="49" t="s">
        <v>23</v>
      </c>
      <c r="D65" s="52">
        <v>8.0</v>
      </c>
      <c r="E65" s="52">
        <v>6.0</v>
      </c>
      <c r="F65" s="52">
        <v>128.0</v>
      </c>
      <c r="G65" s="53" t="s">
        <v>24</v>
      </c>
      <c r="H65" s="54">
        <v>5.0</v>
      </c>
      <c r="I65" s="54">
        <v>3.0</v>
      </c>
      <c r="J65" s="55">
        <v>300.0</v>
      </c>
      <c r="K65" s="53" t="s">
        <v>25</v>
      </c>
      <c r="L65" s="59"/>
      <c r="M65" s="59"/>
      <c r="N65" s="61" t="str">
        <f t="shared" si="3"/>
        <v>#DIV/0!</v>
      </c>
      <c r="O65" s="53" t="s">
        <v>26</v>
      </c>
      <c r="P65" s="59"/>
      <c r="Q65" s="59"/>
      <c r="R65" s="61" t="str">
        <f t="shared" si="4"/>
        <v>#DIV/0!</v>
      </c>
      <c r="S65" s="53" t="s">
        <v>27</v>
      </c>
      <c r="T65" s="54">
        <v>7.0</v>
      </c>
      <c r="U65" s="54">
        <v>16.0</v>
      </c>
      <c r="V65" s="55">
        <v>300.0</v>
      </c>
    </row>
    <row r="66">
      <c r="C66" s="49" t="s">
        <v>28</v>
      </c>
      <c r="D66" s="52">
        <v>8.0</v>
      </c>
      <c r="E66" s="52">
        <v>7.0</v>
      </c>
      <c r="F66" s="52">
        <v>218.0</v>
      </c>
      <c r="G66" s="53" t="s">
        <v>29</v>
      </c>
      <c r="H66" s="54">
        <v>8.0</v>
      </c>
      <c r="I66" s="54">
        <v>9.0</v>
      </c>
      <c r="J66" s="55">
        <v>152.0</v>
      </c>
      <c r="K66" s="53" t="s">
        <v>30</v>
      </c>
      <c r="L66" s="59"/>
      <c r="M66" s="59"/>
      <c r="N66" s="61" t="str">
        <f t="shared" si="3"/>
        <v>#DIV/0!</v>
      </c>
      <c r="O66" s="53" t="s">
        <v>31</v>
      </c>
      <c r="P66" s="59"/>
      <c r="Q66" s="59"/>
      <c r="R66" s="61" t="str">
        <f t="shared" si="4"/>
        <v>#DIV/0!</v>
      </c>
      <c r="S66" s="53" t="s">
        <v>32</v>
      </c>
      <c r="T66" s="54">
        <v>8.0</v>
      </c>
      <c r="U66" s="54">
        <v>5.0</v>
      </c>
      <c r="V66" s="55">
        <v>135.0</v>
      </c>
    </row>
    <row r="67">
      <c r="C67" s="57" t="s">
        <v>33</v>
      </c>
      <c r="F67" s="58">
        <f>AVERAGE(F63:F66)</f>
        <v>137.5</v>
      </c>
      <c r="G67" s="57" t="s">
        <v>33</v>
      </c>
      <c r="J67" s="58">
        <f>AVERAGE(J63:J66)</f>
        <v>184.5</v>
      </c>
      <c r="K67" s="57" t="s">
        <v>33</v>
      </c>
      <c r="N67" s="58" t="str">
        <f>AVERAGE(N63:N66)</f>
        <v>#DIV/0!</v>
      </c>
      <c r="O67" s="57" t="s">
        <v>33</v>
      </c>
      <c r="R67" s="58" t="str">
        <f>AVERAGE(R63:R66)</f>
        <v>#DIV/0!</v>
      </c>
      <c r="S67" s="57" t="s">
        <v>33</v>
      </c>
      <c r="V67" s="58">
        <f>AVERAGE(V64:V66)</f>
        <v>204</v>
      </c>
    </row>
    <row r="68">
      <c r="A68" s="48" t="s">
        <v>46</v>
      </c>
      <c r="B68" s="51" t="s">
        <v>12</v>
      </c>
      <c r="C68" s="49" t="s">
        <v>13</v>
      </c>
      <c r="D68" s="52">
        <v>8.0</v>
      </c>
      <c r="E68" s="52">
        <v>10.0</v>
      </c>
      <c r="F68" s="52">
        <v>158.0</v>
      </c>
      <c r="G68" s="53" t="s">
        <v>14</v>
      </c>
      <c r="H68" s="54">
        <v>7.0</v>
      </c>
      <c r="I68" s="54">
        <v>3.0</v>
      </c>
      <c r="J68" s="55">
        <v>300.0</v>
      </c>
      <c r="K68" s="53" t="s">
        <v>15</v>
      </c>
      <c r="L68" s="59"/>
      <c r="M68" s="59"/>
      <c r="N68" s="61" t="str">
        <f t="shared" ref="N68:N71" si="5">DIVIDE(MINUS(L68,M68),SUM(L68:M68))</f>
        <v>#DIV/0!</v>
      </c>
      <c r="O68" s="53" t="s">
        <v>16</v>
      </c>
      <c r="P68" s="59"/>
      <c r="Q68" s="59"/>
      <c r="R68" s="61" t="str">
        <f t="shared" ref="R68:R71" si="6">DIVIDE(MINUS(P68,Q68),SUM(P68:Q68))</f>
        <v>#DIV/0!</v>
      </c>
      <c r="S68" s="53" t="s">
        <v>17</v>
      </c>
      <c r="T68" s="54">
        <v>8.0</v>
      </c>
      <c r="U68" s="54">
        <v>4.0</v>
      </c>
      <c r="V68" s="55">
        <v>205.0</v>
      </c>
    </row>
    <row r="69">
      <c r="C69" s="49" t="s">
        <v>18</v>
      </c>
      <c r="D69" s="52">
        <v>8.0</v>
      </c>
      <c r="E69" s="52">
        <v>2.0</v>
      </c>
      <c r="F69" s="52">
        <v>86.0</v>
      </c>
      <c r="G69" s="53" t="s">
        <v>19</v>
      </c>
      <c r="H69" s="54">
        <v>8.0</v>
      </c>
      <c r="I69" s="54">
        <v>7.0</v>
      </c>
      <c r="J69" s="55">
        <v>229.0</v>
      </c>
      <c r="K69" s="53" t="s">
        <v>20</v>
      </c>
      <c r="L69" s="59"/>
      <c r="M69" s="59"/>
      <c r="N69" s="61" t="str">
        <f t="shared" si="5"/>
        <v>#DIV/0!</v>
      </c>
      <c r="O69" s="53" t="s">
        <v>21</v>
      </c>
      <c r="P69" s="59"/>
      <c r="Q69" s="59"/>
      <c r="R69" s="61" t="str">
        <f t="shared" si="6"/>
        <v>#DIV/0!</v>
      </c>
      <c r="S69" s="53" t="s">
        <v>22</v>
      </c>
      <c r="T69" s="54">
        <v>8.0</v>
      </c>
      <c r="U69" s="54">
        <v>4.0</v>
      </c>
      <c r="V69" s="55">
        <v>291.0</v>
      </c>
    </row>
    <row r="70">
      <c r="C70" s="49" t="s">
        <v>23</v>
      </c>
      <c r="D70" s="52">
        <v>8.0</v>
      </c>
      <c r="E70" s="52">
        <v>6.0</v>
      </c>
      <c r="F70" s="52">
        <v>144.0</v>
      </c>
      <c r="G70" s="53" t="s">
        <v>24</v>
      </c>
      <c r="H70" s="54">
        <v>5.0</v>
      </c>
      <c r="I70" s="54">
        <v>3.0</v>
      </c>
      <c r="J70" s="55">
        <v>300.0</v>
      </c>
      <c r="K70" s="53" t="s">
        <v>25</v>
      </c>
      <c r="L70" s="59"/>
      <c r="M70" s="59"/>
      <c r="N70" s="61" t="str">
        <f t="shared" si="5"/>
        <v>#DIV/0!</v>
      </c>
      <c r="O70" s="53" t="s">
        <v>26</v>
      </c>
      <c r="P70" s="59"/>
      <c r="Q70" s="59"/>
      <c r="R70" s="61" t="str">
        <f t="shared" si="6"/>
        <v>#DIV/0!</v>
      </c>
      <c r="S70" s="53" t="s">
        <v>27</v>
      </c>
      <c r="T70" s="54">
        <v>8.0</v>
      </c>
      <c r="U70" s="54">
        <v>10.0</v>
      </c>
      <c r="V70" s="55">
        <v>129.0</v>
      </c>
    </row>
    <row r="71">
      <c r="C71" s="49" t="s">
        <v>28</v>
      </c>
      <c r="D71" s="52">
        <v>8.0</v>
      </c>
      <c r="E71" s="52">
        <v>4.0</v>
      </c>
      <c r="F71" s="52">
        <v>209.0</v>
      </c>
      <c r="G71" s="53" t="s">
        <v>29</v>
      </c>
      <c r="H71" s="54">
        <v>8.0</v>
      </c>
      <c r="I71" s="54">
        <v>7.0</v>
      </c>
      <c r="J71" s="55">
        <v>144.0</v>
      </c>
      <c r="K71" s="53" t="s">
        <v>30</v>
      </c>
      <c r="L71" s="59"/>
      <c r="M71" s="59"/>
      <c r="N71" s="61" t="str">
        <f t="shared" si="5"/>
        <v>#DIV/0!</v>
      </c>
      <c r="O71" s="53" t="s">
        <v>31</v>
      </c>
      <c r="P71" s="59"/>
      <c r="Q71" s="59"/>
      <c r="R71" s="61" t="str">
        <f t="shared" si="6"/>
        <v>#DIV/0!</v>
      </c>
      <c r="S71" s="53" t="s">
        <v>32</v>
      </c>
      <c r="T71" s="54">
        <v>6.0</v>
      </c>
      <c r="U71" s="54">
        <v>7.0</v>
      </c>
      <c r="V71" s="55">
        <v>300.0</v>
      </c>
    </row>
    <row r="72">
      <c r="C72" s="57" t="s">
        <v>33</v>
      </c>
      <c r="F72" s="58">
        <f>AVERAGE(F68:F71)</f>
        <v>149.25</v>
      </c>
      <c r="G72" s="57" t="s">
        <v>33</v>
      </c>
      <c r="J72" s="58">
        <f>AVERAGE(J68:J71)</f>
        <v>243.25</v>
      </c>
      <c r="K72" s="57" t="s">
        <v>33</v>
      </c>
      <c r="N72" s="58" t="str">
        <f>AVERAGE(N68:N71)</f>
        <v>#DIV/0!</v>
      </c>
      <c r="O72" s="57" t="s">
        <v>33</v>
      </c>
      <c r="R72" s="58" t="str">
        <f>AVERAGE(R68:R71)</f>
        <v>#DIV/0!</v>
      </c>
      <c r="S72" s="57" t="s">
        <v>33</v>
      </c>
      <c r="V72" s="58">
        <f>AVERAGE(V68:V71)</f>
        <v>231.25</v>
      </c>
    </row>
    <row r="73">
      <c r="A73" s="5"/>
      <c r="B73" s="8"/>
      <c r="C73" s="20"/>
      <c r="D73" s="20"/>
      <c r="E73" s="20"/>
      <c r="F73" s="21"/>
      <c r="G73" s="20"/>
      <c r="H73" s="20"/>
      <c r="I73" s="20"/>
      <c r="J73" s="21"/>
      <c r="K73" s="20"/>
      <c r="L73" s="20"/>
      <c r="M73" s="20"/>
      <c r="N73" s="21"/>
      <c r="O73" s="20"/>
      <c r="P73" s="20"/>
      <c r="Q73" s="20"/>
      <c r="R73" s="21"/>
      <c r="S73" s="20"/>
      <c r="T73" s="20"/>
      <c r="U73" s="20"/>
      <c r="V73" s="21"/>
    </row>
    <row r="74">
      <c r="A74" s="5"/>
      <c r="B74" s="8"/>
      <c r="C74" s="20"/>
      <c r="D74" s="20"/>
      <c r="E74" s="20"/>
      <c r="F74" s="21"/>
      <c r="G74" s="20"/>
      <c r="H74" s="20"/>
      <c r="I74" s="20"/>
      <c r="J74" s="21"/>
      <c r="K74" s="20"/>
      <c r="L74" s="20"/>
      <c r="M74" s="20"/>
      <c r="N74" s="21"/>
      <c r="O74" s="20"/>
      <c r="P74" s="20"/>
      <c r="Q74" s="20"/>
      <c r="R74" s="21"/>
      <c r="S74" s="20"/>
      <c r="T74" s="20"/>
      <c r="U74" s="20"/>
      <c r="V74" s="21"/>
    </row>
    <row r="75">
      <c r="A75" s="5"/>
      <c r="B75" s="8"/>
      <c r="C75" s="20"/>
      <c r="D75" s="20"/>
      <c r="E75" s="20"/>
      <c r="F75" s="21"/>
      <c r="G75" s="20"/>
      <c r="H75" s="20"/>
      <c r="I75" s="20"/>
      <c r="J75" s="21"/>
      <c r="K75" s="20"/>
      <c r="L75" s="20"/>
      <c r="M75" s="20"/>
      <c r="N75" s="21"/>
      <c r="O75" s="20"/>
      <c r="P75" s="20"/>
      <c r="Q75" s="20"/>
      <c r="R75" s="21"/>
      <c r="S75" s="20"/>
      <c r="T75" s="20"/>
      <c r="U75" s="20"/>
      <c r="V75" s="21"/>
    </row>
    <row r="76">
      <c r="A76" s="5"/>
      <c r="B76" s="8"/>
      <c r="C76" s="20"/>
      <c r="D76" s="20"/>
      <c r="E76" s="20"/>
      <c r="F76" s="21"/>
      <c r="G76" s="20"/>
      <c r="H76" s="20"/>
      <c r="I76" s="20"/>
      <c r="J76" s="21"/>
      <c r="K76" s="20"/>
      <c r="L76" s="20"/>
      <c r="M76" s="20"/>
      <c r="N76" s="21"/>
      <c r="O76" s="20"/>
      <c r="P76" s="20"/>
      <c r="Q76" s="20"/>
      <c r="R76" s="21"/>
      <c r="S76" s="20"/>
      <c r="T76" s="20"/>
      <c r="U76" s="20"/>
      <c r="V76" s="21"/>
    </row>
    <row r="77">
      <c r="A77" s="5"/>
      <c r="B77" s="8"/>
      <c r="C77" s="20"/>
      <c r="D77" s="20"/>
      <c r="E77" s="20"/>
      <c r="F77" s="21"/>
      <c r="G77" s="20"/>
      <c r="H77" s="20"/>
      <c r="I77" s="20"/>
      <c r="J77" s="21"/>
      <c r="K77" s="20"/>
      <c r="L77" s="20"/>
      <c r="M77" s="20"/>
      <c r="N77" s="21"/>
      <c r="O77" s="20"/>
      <c r="P77" s="20"/>
      <c r="Q77" s="20"/>
      <c r="R77" s="21"/>
      <c r="S77" s="20"/>
      <c r="T77" s="20"/>
      <c r="U77" s="20"/>
      <c r="V77" s="21"/>
    </row>
    <row r="78">
      <c r="A78" s="5"/>
      <c r="B78" s="8"/>
      <c r="C78" s="20"/>
      <c r="D78" s="20"/>
      <c r="E78" s="20"/>
      <c r="F78" s="21"/>
      <c r="G78" s="20"/>
      <c r="H78" s="20"/>
      <c r="I78" s="20"/>
      <c r="J78" s="21"/>
      <c r="K78" s="20"/>
      <c r="L78" s="20"/>
      <c r="M78" s="20"/>
      <c r="N78" s="21"/>
      <c r="O78" s="20"/>
      <c r="P78" s="20"/>
      <c r="Q78" s="20"/>
      <c r="R78" s="21"/>
      <c r="S78" s="20"/>
      <c r="T78" s="20"/>
      <c r="U78" s="20"/>
      <c r="V78" s="21"/>
    </row>
    <row r="79">
      <c r="A79" s="5"/>
      <c r="B79" s="8"/>
      <c r="C79" s="20"/>
      <c r="D79" s="20"/>
      <c r="E79" s="20"/>
      <c r="F79" s="21"/>
      <c r="G79" s="20"/>
      <c r="H79" s="20"/>
      <c r="I79" s="20"/>
      <c r="J79" s="21"/>
      <c r="K79" s="20"/>
      <c r="L79" s="20"/>
      <c r="M79" s="20"/>
      <c r="N79" s="21"/>
      <c r="O79" s="20"/>
      <c r="P79" s="20"/>
      <c r="Q79" s="20"/>
      <c r="R79" s="21"/>
      <c r="S79" s="20"/>
      <c r="T79" s="20"/>
      <c r="U79" s="20"/>
      <c r="V79" s="21"/>
    </row>
    <row r="80">
      <c r="A80" s="5"/>
      <c r="B80" s="8"/>
      <c r="C80" s="20"/>
      <c r="D80" s="20"/>
      <c r="E80" s="20"/>
      <c r="F80" s="21"/>
      <c r="G80" s="20"/>
      <c r="H80" s="20"/>
      <c r="I80" s="20"/>
      <c r="J80" s="21"/>
      <c r="K80" s="20"/>
      <c r="L80" s="20"/>
      <c r="M80" s="20"/>
      <c r="N80" s="21"/>
      <c r="O80" s="20"/>
      <c r="P80" s="20"/>
      <c r="Q80" s="20"/>
      <c r="R80" s="21"/>
      <c r="S80" s="20"/>
      <c r="T80" s="20"/>
      <c r="U80" s="20"/>
      <c r="V80" s="21"/>
    </row>
    <row r="81">
      <c r="A81" s="5"/>
      <c r="B81" s="8"/>
      <c r="C81" s="20"/>
      <c r="D81" s="20"/>
      <c r="E81" s="20"/>
      <c r="F81" s="21"/>
      <c r="G81" s="20"/>
      <c r="H81" s="20"/>
      <c r="I81" s="20"/>
      <c r="J81" s="21"/>
      <c r="K81" s="20"/>
      <c r="L81" s="20"/>
      <c r="M81" s="20"/>
      <c r="N81" s="21"/>
      <c r="O81" s="20"/>
      <c r="P81" s="20"/>
      <c r="Q81" s="20"/>
      <c r="R81" s="21"/>
      <c r="S81" s="20"/>
      <c r="T81" s="20"/>
      <c r="U81" s="20"/>
      <c r="V81" s="21"/>
    </row>
    <row r="82">
      <c r="A82" s="5"/>
      <c r="B82" s="8"/>
      <c r="C82" s="20"/>
      <c r="D82" s="20"/>
      <c r="E82" s="20"/>
      <c r="F82" s="21"/>
      <c r="G82" s="20"/>
      <c r="H82" s="20"/>
      <c r="I82" s="20"/>
      <c r="J82" s="21"/>
      <c r="K82" s="20"/>
      <c r="L82" s="20"/>
      <c r="M82" s="20"/>
      <c r="N82" s="21"/>
      <c r="O82" s="20"/>
      <c r="P82" s="20"/>
      <c r="Q82" s="20"/>
      <c r="R82" s="21"/>
      <c r="S82" s="20"/>
      <c r="T82" s="20"/>
      <c r="U82" s="20"/>
      <c r="V82" s="21"/>
    </row>
  </sheetData>
  <mergeCells count="105">
    <mergeCell ref="A28:A32"/>
    <mergeCell ref="B28:B32"/>
    <mergeCell ref="C32:E32"/>
    <mergeCell ref="G32:I32"/>
    <mergeCell ref="K32:M32"/>
    <mergeCell ref="O32:Q32"/>
    <mergeCell ref="S32:U32"/>
    <mergeCell ref="A33:A37"/>
    <mergeCell ref="B33:B37"/>
    <mergeCell ref="C37:E37"/>
    <mergeCell ref="G37:I37"/>
    <mergeCell ref="K37:M37"/>
    <mergeCell ref="O37:Q37"/>
    <mergeCell ref="S37:U37"/>
    <mergeCell ref="A38:A42"/>
    <mergeCell ref="B38:B42"/>
    <mergeCell ref="C42:E42"/>
    <mergeCell ref="G42:I42"/>
    <mergeCell ref="K42:M42"/>
    <mergeCell ref="O42:Q42"/>
    <mergeCell ref="S42:U42"/>
    <mergeCell ref="A43:A47"/>
    <mergeCell ref="B43:B47"/>
    <mergeCell ref="C47:E47"/>
    <mergeCell ref="G47:I47"/>
    <mergeCell ref="K47:M47"/>
    <mergeCell ref="O47:Q47"/>
    <mergeCell ref="S47:U47"/>
    <mergeCell ref="A48:A52"/>
    <mergeCell ref="B48:B52"/>
    <mergeCell ref="C52:E52"/>
    <mergeCell ref="G52:I52"/>
    <mergeCell ref="K52:M52"/>
    <mergeCell ref="O52:Q52"/>
    <mergeCell ref="S52:U52"/>
    <mergeCell ref="A53:A57"/>
    <mergeCell ref="B53:B57"/>
    <mergeCell ref="C57:E57"/>
    <mergeCell ref="G57:I57"/>
    <mergeCell ref="K57:M57"/>
    <mergeCell ref="O57:Q57"/>
    <mergeCell ref="S57:U57"/>
    <mergeCell ref="A58:A62"/>
    <mergeCell ref="B58:B62"/>
    <mergeCell ref="C62:E62"/>
    <mergeCell ref="G62:I62"/>
    <mergeCell ref="K62:M62"/>
    <mergeCell ref="O62:Q62"/>
    <mergeCell ref="S62:U62"/>
    <mergeCell ref="A63:A67"/>
    <mergeCell ref="B63:B67"/>
    <mergeCell ref="C67:E67"/>
    <mergeCell ref="G67:I67"/>
    <mergeCell ref="K67:M67"/>
    <mergeCell ref="O67:Q67"/>
    <mergeCell ref="S67:U67"/>
    <mergeCell ref="A1:A2"/>
    <mergeCell ref="B1:B2"/>
    <mergeCell ref="C1:F1"/>
    <mergeCell ref="G1:J1"/>
    <mergeCell ref="K1:N1"/>
    <mergeCell ref="O1:R1"/>
    <mergeCell ref="S1:V1"/>
    <mergeCell ref="A3:A7"/>
    <mergeCell ref="B3:B7"/>
    <mergeCell ref="C7:E7"/>
    <mergeCell ref="G7:I7"/>
    <mergeCell ref="K7:M7"/>
    <mergeCell ref="O7:Q7"/>
    <mergeCell ref="S7:U7"/>
    <mergeCell ref="A8:A12"/>
    <mergeCell ref="B8:B12"/>
    <mergeCell ref="C12:E12"/>
    <mergeCell ref="G12:I12"/>
    <mergeCell ref="K12:M12"/>
    <mergeCell ref="O12:Q12"/>
    <mergeCell ref="S12:U12"/>
    <mergeCell ref="A13:A17"/>
    <mergeCell ref="B13:B17"/>
    <mergeCell ref="C17:E17"/>
    <mergeCell ref="G17:I17"/>
    <mergeCell ref="K17:M17"/>
    <mergeCell ref="O17:Q17"/>
    <mergeCell ref="S17:U17"/>
    <mergeCell ref="A18:A22"/>
    <mergeCell ref="B18:B22"/>
    <mergeCell ref="C22:E22"/>
    <mergeCell ref="G22:I22"/>
    <mergeCell ref="K22:M22"/>
    <mergeCell ref="O22:Q22"/>
    <mergeCell ref="S22:U22"/>
    <mergeCell ref="A23:A27"/>
    <mergeCell ref="B23:B27"/>
    <mergeCell ref="C27:E27"/>
    <mergeCell ref="G27:I27"/>
    <mergeCell ref="K27:M27"/>
    <mergeCell ref="O27:Q27"/>
    <mergeCell ref="S27:U27"/>
    <mergeCell ref="A68:A72"/>
    <mergeCell ref="B68:B72"/>
    <mergeCell ref="C72:E72"/>
    <mergeCell ref="G72:I72"/>
    <mergeCell ref="K72:M72"/>
    <mergeCell ref="O72:Q72"/>
    <mergeCell ref="S72:U7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8" width="19.13"/>
  </cols>
  <sheetData>
    <row r="2" ht="22.5" customHeight="1">
      <c r="A2" s="62" t="s">
        <v>48</v>
      </c>
      <c r="B2" s="63" t="s">
        <v>49</v>
      </c>
      <c r="C2" s="63" t="s">
        <v>50</v>
      </c>
      <c r="D2" s="64" t="s">
        <v>51</v>
      </c>
      <c r="E2" s="63" t="s">
        <v>52</v>
      </c>
      <c r="F2" s="64" t="s">
        <v>53</v>
      </c>
      <c r="G2" s="63" t="s">
        <v>54</v>
      </c>
      <c r="H2" s="63" t="s">
        <v>55</v>
      </c>
    </row>
    <row r="3" ht="22.5" customHeight="1">
      <c r="A3" s="65" t="s">
        <v>56</v>
      </c>
      <c r="B3" s="66">
        <v>0.2983585858585859</v>
      </c>
      <c r="C3" s="67">
        <v>0.23382867132867133</v>
      </c>
      <c r="D3" s="67">
        <v>0.19871794871794873</v>
      </c>
      <c r="E3" s="67">
        <v>0.2153846153846154</v>
      </c>
      <c r="F3" s="67">
        <v>0.13333333333333333</v>
      </c>
      <c r="G3" s="67">
        <v>0.19871794871794873</v>
      </c>
      <c r="H3" s="67">
        <v>0.2772110242698478</v>
      </c>
    </row>
    <row r="4" ht="22.5" customHeight="1">
      <c r="A4" s="65" t="s">
        <v>57</v>
      </c>
      <c r="B4" s="66">
        <v>-0.10060331825037708</v>
      </c>
      <c r="C4" s="67">
        <v>0.3076923076923077</v>
      </c>
      <c r="D4" s="67">
        <v>0.5454545454545454</v>
      </c>
      <c r="E4" s="67">
        <v>0.3125</v>
      </c>
      <c r="F4" s="67">
        <v>0.045454545454545456</v>
      </c>
      <c r="G4" s="67">
        <v>0.24183006535947713</v>
      </c>
      <c r="H4" s="67">
        <v>-0.10416666666666666</v>
      </c>
    </row>
    <row r="5" ht="22.5" customHeight="1">
      <c r="A5" s="65" t="s">
        <v>58</v>
      </c>
      <c r="B5" s="66">
        <v>0.2322954822954823</v>
      </c>
      <c r="C5" s="67">
        <v>0.5969696969696969</v>
      </c>
      <c r="D5" s="67">
        <v>0.049999999999999996</v>
      </c>
      <c r="E5" s="67">
        <v>0.5050505050505051</v>
      </c>
      <c r="F5" s="67">
        <v>0.5333333333333333</v>
      </c>
      <c r="G5" s="67">
        <v>0.368421052631579</v>
      </c>
      <c r="H5" s="67">
        <v>-0.0020796197266785554</v>
      </c>
    </row>
    <row r="6" ht="22.5" customHeight="1">
      <c r="A6" s="65" t="s">
        <v>59</v>
      </c>
      <c r="B6" s="66">
        <v>0.22499999999999998</v>
      </c>
      <c r="C6" s="67">
        <v>0.2692307692307692</v>
      </c>
      <c r="D6" s="67">
        <v>0.1375</v>
      </c>
      <c r="E6" s="67">
        <v>0.5</v>
      </c>
      <c r="F6" s="67">
        <v>0.5</v>
      </c>
      <c r="G6" s="67">
        <v>0.4273504273504274</v>
      </c>
      <c r="H6" s="67">
        <v>0.43088235294117644</v>
      </c>
    </row>
    <row r="7" ht="22.5" customHeight="1">
      <c r="A7" s="65" t="s">
        <v>60</v>
      </c>
      <c r="B7" s="66">
        <v>0.27587412587412585</v>
      </c>
      <c r="C7" s="67">
        <v>0.7333333333333334</v>
      </c>
      <c r="D7" s="67">
        <v>-0.0111111111111111</v>
      </c>
      <c r="E7" s="67">
        <v>0.4</v>
      </c>
      <c r="F7" s="67">
        <v>0.875</v>
      </c>
      <c r="G7" s="67">
        <v>-0.11228070175438595</v>
      </c>
      <c r="H7" s="67">
        <v>0.49708624708624705</v>
      </c>
    </row>
    <row r="8" ht="22.5" customHeight="1">
      <c r="A8" s="65" t="s">
        <v>61</v>
      </c>
      <c r="B8" s="66">
        <v>-0.001973684210526322</v>
      </c>
      <c r="C8" s="67">
        <v>0.15861344537815125</v>
      </c>
      <c r="D8" s="67">
        <v>0.1875</v>
      </c>
      <c r="E8" s="67">
        <v>0.07727272727272727</v>
      </c>
      <c r="F8" s="67">
        <v>0.6</v>
      </c>
      <c r="G8" s="67">
        <v>0.6</v>
      </c>
      <c r="H8" s="67">
        <v>0.10714285714285716</v>
      </c>
    </row>
    <row r="9" ht="22.5" customHeight="1">
      <c r="A9" s="65" t="s">
        <v>62</v>
      </c>
      <c r="B9" s="66">
        <v>0.08088235294117646</v>
      </c>
      <c r="C9" s="67">
        <v>0.3980263157894737</v>
      </c>
      <c r="D9" s="67">
        <v>0.5714285714285714</v>
      </c>
      <c r="E9" s="67">
        <v>0.6161616161616161</v>
      </c>
      <c r="F9" s="67">
        <v>-0.038461538461538464</v>
      </c>
      <c r="G9" s="67">
        <v>-0.23737373737373738</v>
      </c>
      <c r="H9" s="67">
        <v>0.3692564745196324</v>
      </c>
    </row>
    <row r="10" ht="22.5" customHeight="1">
      <c r="A10" s="65" t="s">
        <v>63</v>
      </c>
      <c r="B10" s="66">
        <v>0.021428571428571422</v>
      </c>
      <c r="C10" s="67">
        <v>0.36363636363636365</v>
      </c>
      <c r="D10" s="67">
        <v>0.5</v>
      </c>
      <c r="E10" s="67">
        <v>0.35947712418300654</v>
      </c>
      <c r="F10" s="67">
        <v>0.4666666666666667</v>
      </c>
      <c r="G10" s="67">
        <v>0.46031746031746035</v>
      </c>
      <c r="H10" s="67">
        <v>0.5190476190476191</v>
      </c>
    </row>
    <row r="11" ht="22.5" customHeight="1">
      <c r="A11" s="65" t="s">
        <v>64</v>
      </c>
      <c r="B11" s="66">
        <v>0.291025641025641</v>
      </c>
      <c r="C11" s="67">
        <v>0.6904761904761905</v>
      </c>
      <c r="D11" s="67">
        <v>0.3888888888888889</v>
      </c>
      <c r="E11" s="67">
        <v>-0.09523809523809523</v>
      </c>
      <c r="F11" s="67">
        <v>0.03636363636363635</v>
      </c>
      <c r="G11" s="67">
        <v>0.19999999999999998</v>
      </c>
      <c r="H11" s="67">
        <v>0.27683080808080807</v>
      </c>
    </row>
    <row r="12" ht="22.5" customHeight="1">
      <c r="A12" s="65" t="s">
        <v>65</v>
      </c>
      <c r="B12" s="66">
        <v>0.14545454545454545</v>
      </c>
      <c r="C12" s="67">
        <v>0.3271284271284271</v>
      </c>
      <c r="D12" s="67">
        <v>0.6666666666666666</v>
      </c>
      <c r="E12" s="67">
        <v>0.04201680672268907</v>
      </c>
      <c r="F12" s="67">
        <v>-0.06153846153846154</v>
      </c>
      <c r="G12" s="67">
        <v>-0.15217391304347827</v>
      </c>
      <c r="H12" s="67">
        <v>-0.23861556064073225</v>
      </c>
    </row>
    <row r="13" ht="22.5" customHeight="1">
      <c r="A13" s="65" t="s">
        <v>66</v>
      </c>
      <c r="B13" s="66">
        <v>-0.0010695187165775388</v>
      </c>
      <c r="C13" s="67">
        <v>-0.010714285714285732</v>
      </c>
      <c r="D13" s="67">
        <v>0.07142857142857142</v>
      </c>
      <c r="E13" s="67">
        <v>-0.09195402298850577</v>
      </c>
      <c r="F13" s="67">
        <v>0.75</v>
      </c>
      <c r="G13" s="67">
        <v>-0.11805555555555555</v>
      </c>
      <c r="H13" s="67">
        <v>0.2977941176470588</v>
      </c>
    </row>
    <row r="14" ht="22.5" customHeight="1">
      <c r="A14" s="65" t="s">
        <v>67</v>
      </c>
      <c r="B14" s="66">
        <v>0.21148459383753498</v>
      </c>
      <c r="C14" s="67">
        <v>0.05659340659340657</v>
      </c>
      <c r="E14" s="67">
        <v>0.5555555555555556</v>
      </c>
      <c r="G14" s="67">
        <v>0.23076923076923078</v>
      </c>
      <c r="H14" s="67">
        <v>-0.004117647058823545</v>
      </c>
    </row>
    <row r="15" ht="22.5" customHeight="1">
      <c r="A15" s="65" t="s">
        <v>68</v>
      </c>
      <c r="B15" s="66">
        <v>0.22370962370962372</v>
      </c>
      <c r="C15" s="67">
        <v>0.31143048128342243</v>
      </c>
      <c r="H15" s="67">
        <v>-0.031289483463396515</v>
      </c>
    </row>
    <row r="16" ht="22.5" customHeight="1">
      <c r="A16" s="65" t="s">
        <v>69</v>
      </c>
      <c r="B16" s="66">
        <v>0.24126984126984125</v>
      </c>
      <c r="C16" s="67">
        <v>0.19583333333333333</v>
      </c>
      <c r="H16" s="67">
        <v>0.11965811965811966</v>
      </c>
    </row>
  </sheetData>
  <dataValidations>
    <dataValidation type="custom" allowBlank="1" showDropDown="1" sqref="B3:B16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8" width="19.13"/>
  </cols>
  <sheetData>
    <row r="2" ht="22.5" customHeight="1">
      <c r="A2" s="62" t="s">
        <v>48</v>
      </c>
      <c r="B2" s="63" t="s">
        <v>70</v>
      </c>
      <c r="C2" s="63" t="s">
        <v>71</v>
      </c>
      <c r="D2" s="64" t="s">
        <v>72</v>
      </c>
      <c r="E2" s="63" t="s">
        <v>73</v>
      </c>
      <c r="F2" s="64" t="s">
        <v>74</v>
      </c>
      <c r="G2" s="63" t="s">
        <v>75</v>
      </c>
      <c r="H2" s="63" t="s">
        <v>76</v>
      </c>
    </row>
    <row r="3" ht="22.5" customHeight="1">
      <c r="A3" s="65" t="s">
        <v>56</v>
      </c>
      <c r="B3" s="66">
        <v>7.25</v>
      </c>
      <c r="C3" s="67">
        <v>5.25</v>
      </c>
      <c r="D3" s="67">
        <v>7.5</v>
      </c>
      <c r="E3" s="67">
        <v>7.0</v>
      </c>
      <c r="F3" s="67">
        <v>7.5</v>
      </c>
      <c r="G3" s="67">
        <v>7.5</v>
      </c>
      <c r="H3" s="67">
        <v>7.75</v>
      </c>
    </row>
    <row r="4" ht="22.5" customHeight="1">
      <c r="A4" s="65" t="s">
        <v>57</v>
      </c>
      <c r="B4" s="66">
        <v>7.0</v>
      </c>
      <c r="C4" s="67">
        <v>5.5</v>
      </c>
      <c r="D4" s="67">
        <v>7.0</v>
      </c>
      <c r="E4" s="67">
        <v>7.0</v>
      </c>
      <c r="F4" s="67">
        <v>6.0</v>
      </c>
      <c r="G4" s="67">
        <v>7.0</v>
      </c>
      <c r="H4" s="67">
        <v>6.75</v>
      </c>
    </row>
    <row r="5" ht="22.5" customHeight="1">
      <c r="A5" s="65" t="s">
        <v>58</v>
      </c>
      <c r="B5" s="66">
        <v>7.75</v>
      </c>
      <c r="C5" s="67">
        <v>5.75</v>
      </c>
      <c r="D5" s="67">
        <v>7.0</v>
      </c>
      <c r="E5" s="67">
        <v>7.5</v>
      </c>
      <c r="F5" s="67">
        <v>7.0</v>
      </c>
      <c r="G5" s="67">
        <v>7.5</v>
      </c>
      <c r="H5" s="67">
        <v>7.5</v>
      </c>
    </row>
    <row r="6" ht="22.5" customHeight="1">
      <c r="A6" s="65" t="s">
        <v>59</v>
      </c>
      <c r="B6" s="66">
        <v>7.0</v>
      </c>
      <c r="C6" s="67">
        <v>5.0</v>
      </c>
      <c r="D6" s="67">
        <v>7.0</v>
      </c>
      <c r="E6" s="67">
        <v>5.0</v>
      </c>
      <c r="F6" s="67">
        <v>2.0</v>
      </c>
      <c r="G6" s="67">
        <v>7.5</v>
      </c>
      <c r="H6" s="67">
        <v>6.25</v>
      </c>
    </row>
    <row r="7" ht="22.5" customHeight="1">
      <c r="A7" s="65" t="s">
        <v>60</v>
      </c>
      <c r="B7" s="66">
        <v>7.25</v>
      </c>
      <c r="C7" s="67">
        <v>5.0</v>
      </c>
      <c r="D7" s="67">
        <v>6.5</v>
      </c>
      <c r="E7" s="67">
        <v>4.5</v>
      </c>
      <c r="F7" s="67">
        <v>6.0</v>
      </c>
      <c r="G7" s="67">
        <v>7.5</v>
      </c>
      <c r="H7" s="67">
        <v>5.0</v>
      </c>
    </row>
    <row r="8" ht="22.5" customHeight="1">
      <c r="A8" s="65" t="s">
        <v>61</v>
      </c>
      <c r="B8" s="66">
        <v>7.0</v>
      </c>
      <c r="C8" s="67">
        <v>3.5</v>
      </c>
      <c r="D8" s="67">
        <v>5.0</v>
      </c>
      <c r="E8" s="67">
        <v>7.5</v>
      </c>
      <c r="F8" s="67">
        <v>5.5</v>
      </c>
      <c r="G8" s="67">
        <v>8.0</v>
      </c>
      <c r="H8" s="67">
        <v>5.0</v>
      </c>
    </row>
    <row r="9" ht="22.5" customHeight="1">
      <c r="A9" s="65" t="s">
        <v>62</v>
      </c>
      <c r="B9" s="66">
        <v>7.0</v>
      </c>
      <c r="C9" s="67">
        <v>4.0</v>
      </c>
      <c r="D9" s="67">
        <v>6.0</v>
      </c>
      <c r="E9" s="67">
        <v>8.0</v>
      </c>
      <c r="F9" s="67">
        <v>3.0</v>
      </c>
      <c r="G9" s="67">
        <v>7.5</v>
      </c>
      <c r="H9" s="67">
        <v>6.0</v>
      </c>
    </row>
    <row r="10" ht="22.5" customHeight="1">
      <c r="A10" s="65" t="s">
        <v>63</v>
      </c>
      <c r="B10" s="66">
        <v>6.25</v>
      </c>
      <c r="C10" s="67">
        <v>5.0</v>
      </c>
      <c r="D10" s="67">
        <v>5.5</v>
      </c>
      <c r="E10" s="67">
        <v>8.0</v>
      </c>
      <c r="F10" s="67">
        <v>6.0</v>
      </c>
      <c r="G10" s="67">
        <v>8.0</v>
      </c>
      <c r="H10" s="67">
        <v>7.5</v>
      </c>
    </row>
    <row r="11" ht="22.5" customHeight="1">
      <c r="A11" s="65" t="s">
        <v>64</v>
      </c>
      <c r="B11" s="66">
        <v>7.25</v>
      </c>
      <c r="C11" s="67">
        <v>6.25</v>
      </c>
      <c r="D11" s="67">
        <v>4.0</v>
      </c>
      <c r="E11" s="67">
        <v>7.5</v>
      </c>
      <c r="F11" s="67">
        <v>7.5</v>
      </c>
      <c r="G11" s="67">
        <v>8.0</v>
      </c>
      <c r="H11" s="67">
        <v>7.5</v>
      </c>
    </row>
    <row r="12" ht="22.5" customHeight="1">
      <c r="A12" s="65" t="s">
        <v>65</v>
      </c>
      <c r="B12" s="66">
        <v>7.0</v>
      </c>
      <c r="C12" s="67">
        <v>7.25</v>
      </c>
      <c r="D12" s="67">
        <v>5.5</v>
      </c>
      <c r="E12" s="67">
        <v>8.0</v>
      </c>
      <c r="F12" s="67">
        <v>7.5</v>
      </c>
      <c r="G12" s="67">
        <v>8.0</v>
      </c>
      <c r="H12" s="67">
        <v>7.0</v>
      </c>
    </row>
    <row r="13" ht="22.5" customHeight="1">
      <c r="A13" s="65" t="s">
        <v>66</v>
      </c>
      <c r="B13" s="66">
        <v>7.75</v>
      </c>
      <c r="C13" s="67">
        <v>5.5</v>
      </c>
      <c r="D13" s="67">
        <v>4.0</v>
      </c>
      <c r="E13" s="67">
        <v>7.5</v>
      </c>
      <c r="F13" s="67">
        <v>4.5</v>
      </c>
      <c r="G13" s="67">
        <v>7.5</v>
      </c>
      <c r="H13" s="67">
        <v>6.0</v>
      </c>
    </row>
    <row r="14" ht="22.5" customHeight="1">
      <c r="A14" s="65" t="s">
        <v>67</v>
      </c>
      <c r="B14" s="66">
        <v>7.25</v>
      </c>
      <c r="C14" s="67">
        <v>6.25</v>
      </c>
      <c r="E14" s="67">
        <v>8.0</v>
      </c>
      <c r="G14" s="67">
        <v>8.0</v>
      </c>
      <c r="H14" s="67">
        <v>7.5</v>
      </c>
    </row>
    <row r="15" ht="22.5" customHeight="1">
      <c r="A15" s="65" t="s">
        <v>68</v>
      </c>
      <c r="B15" s="66">
        <v>8.0</v>
      </c>
      <c r="C15" s="67">
        <v>7.25</v>
      </c>
      <c r="H15" s="65">
        <v>7.5</v>
      </c>
    </row>
    <row r="16" ht="22.5" customHeight="1">
      <c r="A16" s="65" t="s">
        <v>69</v>
      </c>
      <c r="B16" s="66">
        <v>8.0</v>
      </c>
      <c r="C16" s="67">
        <v>7.0</v>
      </c>
      <c r="H16" s="67">
        <v>7.5</v>
      </c>
    </row>
  </sheetData>
  <dataValidations>
    <dataValidation type="custom" allowBlank="1" showDropDown="1" sqref="B3:B16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8" width="19.13"/>
  </cols>
  <sheetData>
    <row r="2" ht="22.5" customHeight="1">
      <c r="A2" s="62" t="s">
        <v>48</v>
      </c>
      <c r="B2" s="63" t="s">
        <v>70</v>
      </c>
      <c r="C2" s="63" t="s">
        <v>71</v>
      </c>
      <c r="D2" s="64" t="s">
        <v>72</v>
      </c>
      <c r="E2" s="63" t="s">
        <v>73</v>
      </c>
      <c r="F2" s="64" t="s">
        <v>74</v>
      </c>
      <c r="G2" s="63" t="s">
        <v>75</v>
      </c>
      <c r="H2" s="63" t="s">
        <v>76</v>
      </c>
    </row>
    <row r="3" ht="22.5" customHeight="1">
      <c r="A3" s="65" t="s">
        <v>56</v>
      </c>
      <c r="B3" s="68">
        <v>0.649179292929293</v>
      </c>
      <c r="C3" s="68">
        <v>0.4919143356643357</v>
      </c>
      <c r="D3" s="68">
        <v>0.5993589743589745</v>
      </c>
      <c r="E3" s="68">
        <v>0.6076923076923078</v>
      </c>
      <c r="F3" s="68">
        <v>0.5666666666666667</v>
      </c>
      <c r="G3" s="68">
        <v>0.5993589743589745</v>
      </c>
      <c r="H3" s="68">
        <v>0.6386055121349239</v>
      </c>
    </row>
    <row r="4" ht="22.5" customHeight="1">
      <c r="A4" s="65" t="s">
        <v>57</v>
      </c>
      <c r="B4" s="68">
        <v>0.4496983408748114</v>
      </c>
      <c r="C4" s="68">
        <v>0.6538461538461539</v>
      </c>
      <c r="D4" s="68">
        <v>0.7727272727272727</v>
      </c>
      <c r="E4" s="68">
        <v>0.65625</v>
      </c>
      <c r="F4" s="68">
        <v>0.5227272727272727</v>
      </c>
      <c r="G4" s="68">
        <v>0.6209150326797386</v>
      </c>
      <c r="H4" s="68">
        <v>0.44791666666666663</v>
      </c>
    </row>
    <row r="5" ht="22.5" customHeight="1">
      <c r="A5" s="65" t="s">
        <v>58</v>
      </c>
      <c r="B5" s="68">
        <v>0.6161477411477412</v>
      </c>
      <c r="C5" s="68">
        <v>0.7984848484848485</v>
      </c>
      <c r="D5" s="68">
        <v>0.525</v>
      </c>
      <c r="E5" s="68">
        <v>0.7525252525252526</v>
      </c>
      <c r="F5" s="68">
        <v>0.7666666666666666</v>
      </c>
      <c r="G5" s="68">
        <v>0.6842105263157895</v>
      </c>
      <c r="H5" s="68">
        <v>0.4989601901366607</v>
      </c>
    </row>
    <row r="6" ht="22.5" customHeight="1">
      <c r="A6" s="65" t="s">
        <v>59</v>
      </c>
      <c r="B6" s="68">
        <v>0.6125</v>
      </c>
      <c r="C6" s="68">
        <v>0.5096153846153846</v>
      </c>
      <c r="D6" s="68">
        <v>0.56875</v>
      </c>
      <c r="E6" s="68">
        <v>0.75</v>
      </c>
      <c r="F6" s="68">
        <v>0.75</v>
      </c>
      <c r="G6" s="68">
        <v>0.7136752136752136</v>
      </c>
      <c r="H6" s="68">
        <v>0.7154411764705882</v>
      </c>
    </row>
    <row r="7" ht="22.5" customHeight="1">
      <c r="A7" s="65" t="s">
        <v>60</v>
      </c>
      <c r="B7" s="68">
        <v>0.637937062937063</v>
      </c>
      <c r="C7" s="68">
        <v>0.8666666666666667</v>
      </c>
      <c r="D7" s="68">
        <v>0.49444444444444446</v>
      </c>
      <c r="E7" s="68">
        <v>0.7</v>
      </c>
      <c r="F7" s="68">
        <v>0.9375</v>
      </c>
      <c r="G7" s="68">
        <v>0.443859649122807</v>
      </c>
      <c r="H7" s="68">
        <v>0.7485431235431236</v>
      </c>
    </row>
    <row r="8" ht="22.5" customHeight="1">
      <c r="A8" s="65" t="s">
        <v>61</v>
      </c>
      <c r="B8" s="68">
        <v>0.4990131578947368</v>
      </c>
      <c r="C8" s="68">
        <v>0.4543067226890757</v>
      </c>
      <c r="D8" s="68">
        <v>0.59375</v>
      </c>
      <c r="E8" s="68">
        <v>0.5386363636363636</v>
      </c>
      <c r="F8" s="68">
        <v>0.8</v>
      </c>
      <c r="G8" s="68">
        <v>0.8</v>
      </c>
      <c r="H8" s="68">
        <v>0.4285714285714286</v>
      </c>
    </row>
    <row r="9" ht="22.5" customHeight="1">
      <c r="A9" s="65" t="s">
        <v>62</v>
      </c>
      <c r="B9" s="68">
        <v>0.5404411764705883</v>
      </c>
      <c r="C9" s="68">
        <v>0.5740131578947368</v>
      </c>
      <c r="D9" s="68">
        <v>0.7857142857142857</v>
      </c>
      <c r="E9" s="68">
        <v>0.8080808080808081</v>
      </c>
      <c r="F9" s="68">
        <v>0.23076923076923078</v>
      </c>
      <c r="G9" s="68">
        <v>0.38131313131313127</v>
      </c>
      <c r="H9" s="68">
        <v>0.6846282372598161</v>
      </c>
    </row>
    <row r="10" ht="22.5" customHeight="1">
      <c r="A10" s="65" t="s">
        <v>63</v>
      </c>
      <c r="B10" s="68">
        <v>0.5107142857142857</v>
      </c>
      <c r="C10" s="68">
        <v>0.6818181818181819</v>
      </c>
      <c r="D10" s="68">
        <v>0.75</v>
      </c>
      <c r="E10" s="68">
        <v>0.6797385620915033</v>
      </c>
      <c r="F10" s="68">
        <v>0.7333333333333334</v>
      </c>
      <c r="G10" s="68">
        <v>0.7301587301587301</v>
      </c>
      <c r="H10" s="68">
        <v>0.7595238095238095</v>
      </c>
    </row>
    <row r="11" ht="22.5" customHeight="1">
      <c r="A11" s="65" t="s">
        <v>64</v>
      </c>
      <c r="B11" s="68">
        <v>0.6455128205128206</v>
      </c>
      <c r="C11" s="68">
        <v>0.8452380952380952</v>
      </c>
      <c r="D11" s="68">
        <v>0.4444444444444444</v>
      </c>
      <c r="E11" s="68">
        <v>0.45238095238095233</v>
      </c>
      <c r="F11" s="68">
        <v>0.5181818181818182</v>
      </c>
      <c r="G11" s="68">
        <v>0.6000000000000001</v>
      </c>
      <c r="H11" s="68">
        <v>0.638415404040404</v>
      </c>
    </row>
    <row r="12" ht="22.5" customHeight="1">
      <c r="A12" s="65" t="s">
        <v>65</v>
      </c>
      <c r="B12" s="68">
        <v>0.5727272727272726</v>
      </c>
      <c r="C12" s="68">
        <v>0.6635642135642135</v>
      </c>
      <c r="D12" s="68">
        <v>0.8333333333333333</v>
      </c>
      <c r="E12" s="68">
        <v>0.5210084033613445</v>
      </c>
      <c r="F12" s="68">
        <v>0.46923076923076923</v>
      </c>
      <c r="G12" s="68">
        <v>0.42391304347826086</v>
      </c>
      <c r="H12" s="68">
        <v>0.38069221967963385</v>
      </c>
    </row>
    <row r="13" ht="22.5" customHeight="1">
      <c r="A13" s="65" t="s">
        <v>66</v>
      </c>
      <c r="B13" s="68">
        <v>0.49946524064171127</v>
      </c>
      <c r="C13" s="68">
        <v>0.6017857142857143</v>
      </c>
      <c r="D13" s="68">
        <v>0.2857142857142857</v>
      </c>
      <c r="E13" s="68">
        <v>0.4540229885057471</v>
      </c>
      <c r="F13" s="68">
        <v>0.875</v>
      </c>
      <c r="G13" s="68">
        <v>0.4409722222222222</v>
      </c>
      <c r="H13" s="68">
        <v>0.6488970588235294</v>
      </c>
    </row>
    <row r="14" ht="22.5" customHeight="1">
      <c r="A14" s="65" t="s">
        <v>67</v>
      </c>
      <c r="B14" s="68">
        <v>0.6057422969187675</v>
      </c>
      <c r="C14" s="68">
        <v>0.5282967032967033</v>
      </c>
      <c r="E14" s="68">
        <v>0.7777777777777777</v>
      </c>
      <c r="G14" s="68">
        <v>0.6153846153846154</v>
      </c>
      <c r="H14" s="68">
        <v>0.4979411764705883</v>
      </c>
    </row>
    <row r="15" ht="22.5" customHeight="1">
      <c r="A15" s="65" t="s">
        <v>68</v>
      </c>
      <c r="B15" s="68">
        <v>0.6118548118548118</v>
      </c>
      <c r="C15" s="68">
        <v>0.6557152406417113</v>
      </c>
      <c r="H15" s="68">
        <v>0.479933110367893</v>
      </c>
    </row>
    <row r="16" ht="22.5" customHeight="1">
      <c r="A16" s="65" t="s">
        <v>69</v>
      </c>
      <c r="B16" s="68">
        <v>0.6206349206349207</v>
      </c>
      <c r="C16" s="68">
        <v>0.5979166666666667</v>
      </c>
      <c r="H16" s="68">
        <v>0.5598290598290598</v>
      </c>
    </row>
  </sheetData>
  <dataValidations>
    <dataValidation type="custom" allowBlank="1" showDropDown="1" sqref="B3:B16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8" width="19.13"/>
  </cols>
  <sheetData>
    <row r="2" ht="22.5" customHeight="1">
      <c r="A2" s="62" t="s">
        <v>48</v>
      </c>
      <c r="B2" s="63" t="s">
        <v>70</v>
      </c>
      <c r="C2" s="63" t="s">
        <v>71</v>
      </c>
      <c r="D2" s="64" t="s">
        <v>72</v>
      </c>
      <c r="E2" s="63" t="s">
        <v>73</v>
      </c>
      <c r="F2" s="64" t="s">
        <v>74</v>
      </c>
      <c r="G2" s="63" t="s">
        <v>75</v>
      </c>
      <c r="H2" s="63" t="s">
        <v>76</v>
      </c>
    </row>
    <row r="3" ht="22.5" customHeight="1">
      <c r="A3" s="65" t="s">
        <v>56</v>
      </c>
      <c r="B3" s="68">
        <v>4.25</v>
      </c>
      <c r="C3" s="68">
        <v>2.75</v>
      </c>
      <c r="D3" s="69">
        <v>5.0</v>
      </c>
      <c r="E3" s="70">
        <v>4.5</v>
      </c>
      <c r="F3" s="69">
        <v>6.0</v>
      </c>
      <c r="G3" s="69">
        <v>5.0</v>
      </c>
      <c r="H3" s="68">
        <v>5.0</v>
      </c>
    </row>
    <row r="4" ht="22.5" customHeight="1">
      <c r="A4" s="65" t="s">
        <v>57</v>
      </c>
      <c r="B4" s="68">
        <v>8.75</v>
      </c>
      <c r="C4" s="68">
        <v>4.5</v>
      </c>
      <c r="D4" s="69">
        <v>2.5</v>
      </c>
      <c r="E4" s="70">
        <v>5.0</v>
      </c>
      <c r="F4" s="69">
        <v>5.5</v>
      </c>
      <c r="G4" s="69">
        <v>6.0</v>
      </c>
      <c r="H4" s="68">
        <v>8.75</v>
      </c>
    </row>
    <row r="5" ht="22.5" customHeight="1">
      <c r="A5" s="65" t="s">
        <v>58</v>
      </c>
      <c r="B5" s="68">
        <v>5.75</v>
      </c>
      <c r="C5" s="68">
        <v>2.0</v>
      </c>
      <c r="D5" s="69">
        <v>6.5</v>
      </c>
      <c r="E5" s="70">
        <v>2.5</v>
      </c>
      <c r="F5" s="69">
        <v>7.0</v>
      </c>
      <c r="G5" s="69">
        <v>12.0</v>
      </c>
      <c r="H5" s="68">
        <v>8.0</v>
      </c>
    </row>
    <row r="6" ht="22.5" customHeight="1">
      <c r="A6" s="65" t="s">
        <v>59</v>
      </c>
      <c r="B6" s="68">
        <v>5.5</v>
      </c>
      <c r="C6" s="68">
        <v>3.25</v>
      </c>
      <c r="D6" s="69">
        <v>6.0</v>
      </c>
      <c r="E6" s="70">
        <v>3.0</v>
      </c>
      <c r="F6" s="69">
        <v>0.5</v>
      </c>
      <c r="G6" s="69">
        <v>3.5</v>
      </c>
      <c r="H6" s="68">
        <v>3.75</v>
      </c>
    </row>
    <row r="7" ht="22.5" customHeight="1">
      <c r="A7" s="65" t="s">
        <v>60</v>
      </c>
      <c r="B7" s="68">
        <v>4.25</v>
      </c>
      <c r="C7" s="68">
        <v>1.25</v>
      </c>
      <c r="D7" s="69">
        <v>7.5</v>
      </c>
      <c r="E7" s="70">
        <v>6.0</v>
      </c>
      <c r="F7" s="69">
        <v>0.5</v>
      </c>
      <c r="G7" s="69">
        <v>9.5</v>
      </c>
      <c r="H7" s="68">
        <v>2.75</v>
      </c>
    </row>
    <row r="8" ht="22.5" customHeight="1">
      <c r="A8" s="65" t="s">
        <v>61</v>
      </c>
      <c r="B8" s="68">
        <v>7.75</v>
      </c>
      <c r="C8" s="68">
        <v>3.5</v>
      </c>
      <c r="D8" s="69">
        <v>5.0</v>
      </c>
      <c r="E8" s="70">
        <v>8.0</v>
      </c>
      <c r="F8" s="69">
        <v>2.0</v>
      </c>
      <c r="G8" s="69">
        <v>2.0</v>
      </c>
      <c r="H8" s="68">
        <v>4.75</v>
      </c>
    </row>
    <row r="9" ht="22.5" customHeight="1">
      <c r="A9" s="65" t="s">
        <v>62</v>
      </c>
      <c r="B9" s="68">
        <v>7.25</v>
      </c>
      <c r="C9" s="68">
        <v>3.0</v>
      </c>
      <c r="D9" s="69">
        <v>3.0</v>
      </c>
      <c r="E9" s="70">
        <v>2.0</v>
      </c>
      <c r="F9" s="69">
        <v>3.5</v>
      </c>
      <c r="G9" s="69">
        <v>12.5</v>
      </c>
      <c r="H9" s="68">
        <v>5.0</v>
      </c>
    </row>
    <row r="10" ht="22.5" customHeight="1">
      <c r="A10" s="65" t="s">
        <v>63</v>
      </c>
      <c r="B10" s="68">
        <v>6.25</v>
      </c>
      <c r="C10" s="68">
        <v>2.5</v>
      </c>
      <c r="D10" s="69">
        <v>4.0</v>
      </c>
      <c r="E10" s="70">
        <v>5.0</v>
      </c>
      <c r="F10" s="69">
        <v>4.0</v>
      </c>
      <c r="G10" s="69">
        <v>3.5</v>
      </c>
      <c r="H10" s="68">
        <v>2.75</v>
      </c>
    </row>
    <row r="11" ht="22.5" customHeight="1">
      <c r="A11" s="65" t="s">
        <v>64</v>
      </c>
      <c r="B11" s="68">
        <v>4.25</v>
      </c>
      <c r="C11" s="68">
        <v>1.5</v>
      </c>
      <c r="D11" s="69">
        <v>0.5</v>
      </c>
      <c r="E11" s="70">
        <v>10.0</v>
      </c>
      <c r="F11" s="69">
        <v>8.0</v>
      </c>
      <c r="G11" s="69">
        <v>7.0</v>
      </c>
      <c r="H11" s="68">
        <v>5.0</v>
      </c>
    </row>
    <row r="12" ht="22.5" customHeight="1">
      <c r="A12" s="65" t="s">
        <v>65</v>
      </c>
      <c r="B12" s="68">
        <v>5.25</v>
      </c>
      <c r="C12" s="68">
        <v>3.75</v>
      </c>
      <c r="D12" s="69">
        <v>2.0</v>
      </c>
      <c r="E12" s="70">
        <v>7.5</v>
      </c>
      <c r="F12" s="69">
        <v>9.0</v>
      </c>
      <c r="G12" s="69">
        <v>11.5</v>
      </c>
      <c r="H12" s="68">
        <v>12.0</v>
      </c>
    </row>
    <row r="13" ht="22.5" customHeight="1">
      <c r="A13" s="65" t="s">
        <v>66</v>
      </c>
      <c r="B13" s="68">
        <v>9.0</v>
      </c>
      <c r="C13" s="68">
        <v>5.75</v>
      </c>
      <c r="D13" s="69">
        <v>3.0</v>
      </c>
      <c r="E13" s="70">
        <v>13.0</v>
      </c>
      <c r="F13" s="69">
        <v>1.0</v>
      </c>
      <c r="G13" s="69">
        <v>9.5</v>
      </c>
      <c r="H13" s="68">
        <v>4.75</v>
      </c>
    </row>
    <row r="14" ht="22.5" customHeight="1">
      <c r="A14" s="65" t="s">
        <v>67</v>
      </c>
      <c r="B14" s="68">
        <v>5.25</v>
      </c>
      <c r="C14" s="68">
        <v>8.25</v>
      </c>
      <c r="E14" s="70">
        <v>2.5</v>
      </c>
      <c r="G14" s="69">
        <v>5.0</v>
      </c>
      <c r="H14" s="68">
        <v>9.5</v>
      </c>
    </row>
    <row r="15" ht="22.5" customHeight="1">
      <c r="A15" s="65" t="s">
        <v>68</v>
      </c>
      <c r="B15" s="68">
        <v>5.25</v>
      </c>
      <c r="C15" s="68">
        <v>4.25</v>
      </c>
      <c r="H15" s="68">
        <v>9.0</v>
      </c>
    </row>
    <row r="16" ht="22.5" customHeight="1">
      <c r="A16" s="65" t="s">
        <v>69</v>
      </c>
      <c r="B16" s="68">
        <v>5.5</v>
      </c>
      <c r="C16" s="68">
        <v>5.0</v>
      </c>
      <c r="H16" s="68">
        <v>6.25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8" width="19.13"/>
  </cols>
  <sheetData>
    <row r="1">
      <c r="D1" s="56"/>
      <c r="E1" s="56"/>
      <c r="F1" s="56"/>
      <c r="G1" s="56"/>
      <c r="H1" s="56"/>
    </row>
    <row r="2" ht="22.5" customHeight="1">
      <c r="A2" s="62" t="s">
        <v>48</v>
      </c>
      <c r="B2" s="63" t="s">
        <v>70</v>
      </c>
      <c r="C2" s="63" t="s">
        <v>71</v>
      </c>
      <c r="D2" s="71" t="s">
        <v>72</v>
      </c>
      <c r="E2" s="71" t="s">
        <v>73</v>
      </c>
      <c r="F2" s="71" t="s">
        <v>74</v>
      </c>
      <c r="G2" s="71" t="s">
        <v>75</v>
      </c>
      <c r="H2" s="71" t="s">
        <v>76</v>
      </c>
    </row>
    <row r="3" ht="22.5" customHeight="1">
      <c r="A3" s="65" t="s">
        <v>56</v>
      </c>
      <c r="B3" s="72">
        <v>197.5</v>
      </c>
      <c r="C3" s="72">
        <v>250.0</v>
      </c>
      <c r="D3" s="73">
        <v>275.0</v>
      </c>
      <c r="E3" s="72">
        <v>300.0</v>
      </c>
      <c r="F3" s="72">
        <v>300.0</v>
      </c>
      <c r="G3" s="72">
        <v>226.0</v>
      </c>
      <c r="H3" s="72">
        <v>226.25</v>
      </c>
    </row>
    <row r="4" ht="22.5" customHeight="1">
      <c r="A4" s="65" t="s">
        <v>57</v>
      </c>
      <c r="B4" s="72">
        <v>239.25</v>
      </c>
      <c r="C4" s="72">
        <v>283.0</v>
      </c>
      <c r="D4" s="73">
        <v>245.5</v>
      </c>
      <c r="E4" s="72">
        <v>300.0</v>
      </c>
      <c r="F4" s="72">
        <v>300.0</v>
      </c>
      <c r="G4" s="72">
        <v>209.0</v>
      </c>
      <c r="H4" s="72">
        <v>281.0</v>
      </c>
    </row>
    <row r="5" ht="22.5" customHeight="1">
      <c r="A5" s="65" t="s">
        <v>58</v>
      </c>
      <c r="B5" s="72">
        <v>190.0</v>
      </c>
      <c r="C5" s="72">
        <v>236.0</v>
      </c>
      <c r="D5" s="73">
        <v>300.0</v>
      </c>
      <c r="E5" s="72">
        <v>295.0</v>
      </c>
      <c r="F5" s="72">
        <v>290.5</v>
      </c>
      <c r="G5" s="72">
        <v>232.0</v>
      </c>
      <c r="H5" s="72">
        <v>299.25</v>
      </c>
    </row>
    <row r="6" ht="22.5" customHeight="1">
      <c r="A6" s="65" t="s">
        <v>59</v>
      </c>
      <c r="B6" s="72">
        <v>251.0</v>
      </c>
      <c r="C6" s="72">
        <v>300.0</v>
      </c>
      <c r="D6" s="73">
        <v>300.0</v>
      </c>
      <c r="E6" s="72">
        <v>300.0</v>
      </c>
      <c r="F6" s="72">
        <v>232.0</v>
      </c>
      <c r="G6" s="72">
        <v>232.0</v>
      </c>
      <c r="H6" s="72">
        <v>300.0</v>
      </c>
    </row>
    <row r="7" ht="22.5" customHeight="1">
      <c r="A7" s="65" t="s">
        <v>60</v>
      </c>
      <c r="B7" s="72">
        <v>227.5</v>
      </c>
      <c r="C7" s="72">
        <v>258.25</v>
      </c>
      <c r="D7" s="73">
        <v>300.0</v>
      </c>
      <c r="E7" s="72">
        <v>300.0</v>
      </c>
      <c r="F7" s="72">
        <v>300.0</v>
      </c>
      <c r="G7" s="72">
        <v>285.0</v>
      </c>
      <c r="H7" s="72">
        <v>279.75</v>
      </c>
    </row>
    <row r="8" ht="22.5" customHeight="1">
      <c r="A8" s="65" t="s">
        <v>61</v>
      </c>
      <c r="B8" s="72">
        <v>278.0</v>
      </c>
      <c r="C8" s="72">
        <v>300.0</v>
      </c>
      <c r="D8" s="73">
        <v>300.0</v>
      </c>
      <c r="E8" s="72">
        <v>259.5</v>
      </c>
      <c r="F8" s="72">
        <v>300.0</v>
      </c>
      <c r="G8" s="72">
        <v>105.5</v>
      </c>
      <c r="H8" s="72">
        <v>291.75</v>
      </c>
    </row>
    <row r="9" ht="22.5" customHeight="1">
      <c r="A9" s="65" t="s">
        <v>62</v>
      </c>
      <c r="B9" s="72">
        <v>245.25</v>
      </c>
      <c r="C9" s="72">
        <v>294.5</v>
      </c>
      <c r="D9" s="73">
        <v>279.0</v>
      </c>
      <c r="E9" s="72">
        <v>133.5</v>
      </c>
      <c r="F9" s="72">
        <v>300.0</v>
      </c>
      <c r="G9" s="72">
        <v>281.0</v>
      </c>
      <c r="H9" s="72">
        <v>277.5</v>
      </c>
    </row>
    <row r="10" ht="22.5" customHeight="1">
      <c r="A10" s="65" t="s">
        <v>63</v>
      </c>
      <c r="B10" s="72">
        <v>260.25</v>
      </c>
      <c r="C10" s="72">
        <v>272.0</v>
      </c>
      <c r="D10" s="73">
        <v>276.5</v>
      </c>
      <c r="E10" s="72">
        <v>150.5</v>
      </c>
      <c r="F10" s="72">
        <v>223.5</v>
      </c>
      <c r="G10" s="72">
        <v>106.0</v>
      </c>
      <c r="H10" s="72">
        <v>241.0</v>
      </c>
    </row>
    <row r="11" ht="22.5" customHeight="1">
      <c r="A11" s="65" t="s">
        <v>64</v>
      </c>
      <c r="B11" s="72">
        <v>223.5</v>
      </c>
      <c r="C11" s="72">
        <v>237.0</v>
      </c>
      <c r="D11" s="73">
        <v>211.0</v>
      </c>
      <c r="E11" s="72">
        <v>235.5</v>
      </c>
      <c r="F11" s="72">
        <v>260.5</v>
      </c>
      <c r="G11" s="72">
        <v>191.0</v>
      </c>
      <c r="H11" s="72">
        <v>227.5</v>
      </c>
    </row>
    <row r="12" ht="22.5" customHeight="1">
      <c r="A12" s="65" t="s">
        <v>65</v>
      </c>
      <c r="B12" s="72">
        <v>249.5</v>
      </c>
      <c r="C12" s="72">
        <v>201.25</v>
      </c>
      <c r="D12" s="73">
        <v>224.0</v>
      </c>
      <c r="E12" s="72">
        <v>188.5</v>
      </c>
      <c r="F12" s="72">
        <v>263.0</v>
      </c>
      <c r="G12" s="72">
        <v>238.0</v>
      </c>
      <c r="H12" s="72">
        <v>300.0</v>
      </c>
    </row>
    <row r="13" ht="22.5" customHeight="1">
      <c r="A13" s="65" t="s">
        <v>66</v>
      </c>
      <c r="B13" s="72">
        <v>208.25</v>
      </c>
      <c r="C13" s="72">
        <v>300.0</v>
      </c>
      <c r="D13" s="73">
        <v>286.0</v>
      </c>
      <c r="E13" s="72">
        <v>218.0</v>
      </c>
      <c r="F13" s="72">
        <v>300.0</v>
      </c>
      <c r="G13" s="72">
        <v>275.0</v>
      </c>
      <c r="H13" s="72">
        <v>274.0</v>
      </c>
    </row>
    <row r="14" ht="22.5" customHeight="1">
      <c r="A14" s="65" t="s">
        <v>67</v>
      </c>
      <c r="B14" s="72">
        <v>199.0</v>
      </c>
      <c r="C14" s="72">
        <v>265.5</v>
      </c>
      <c r="D14" s="72"/>
      <c r="E14" s="72">
        <v>100.5</v>
      </c>
      <c r="F14" s="72"/>
      <c r="G14" s="72">
        <v>189.0</v>
      </c>
      <c r="H14" s="72">
        <v>269.5</v>
      </c>
    </row>
    <row r="15" ht="22.5" customHeight="1">
      <c r="A15" s="65" t="s">
        <v>68</v>
      </c>
      <c r="B15" s="72">
        <v>137.5</v>
      </c>
      <c r="C15" s="72">
        <v>184.5</v>
      </c>
      <c r="D15" s="72"/>
      <c r="E15" s="72"/>
      <c r="F15" s="72"/>
      <c r="G15" s="72"/>
      <c r="H15" s="72">
        <v>204.0</v>
      </c>
    </row>
    <row r="16" ht="22.5" customHeight="1">
      <c r="A16" s="65" t="s">
        <v>69</v>
      </c>
      <c r="B16" s="72">
        <v>149.25</v>
      </c>
      <c r="C16" s="72">
        <v>243.25</v>
      </c>
      <c r="D16" s="72"/>
      <c r="E16" s="72"/>
      <c r="F16" s="72"/>
      <c r="G16" s="72"/>
      <c r="H16" s="72">
        <v>231.25</v>
      </c>
    </row>
    <row r="17">
      <c r="D17" s="56"/>
      <c r="E17" s="56"/>
      <c r="F17" s="56"/>
      <c r="G17" s="56"/>
      <c r="H17" s="56"/>
    </row>
    <row r="18">
      <c r="D18" s="56"/>
      <c r="E18" s="56"/>
      <c r="F18" s="56"/>
      <c r="G18" s="56"/>
      <c r="H18" s="56"/>
    </row>
    <row r="19">
      <c r="D19" s="56"/>
      <c r="E19" s="56"/>
      <c r="F19" s="56"/>
      <c r="G19" s="56"/>
      <c r="H19" s="56"/>
    </row>
    <row r="20">
      <c r="D20" s="56"/>
      <c r="E20" s="56"/>
      <c r="F20" s="56"/>
      <c r="G20" s="56"/>
      <c r="H20" s="56"/>
    </row>
    <row r="21">
      <c r="D21" s="56"/>
      <c r="E21" s="56"/>
      <c r="F21" s="56"/>
      <c r="G21" s="56"/>
      <c r="H21" s="56"/>
    </row>
    <row r="22">
      <c r="D22" s="56"/>
      <c r="E22" s="56"/>
      <c r="F22" s="56"/>
      <c r="G22" s="56"/>
      <c r="H22" s="56"/>
    </row>
    <row r="23">
      <c r="D23" s="56"/>
      <c r="E23" s="56"/>
      <c r="F23" s="56"/>
      <c r="G23" s="56"/>
      <c r="H23" s="56"/>
    </row>
    <row r="24">
      <c r="D24" s="56"/>
      <c r="E24" s="56"/>
      <c r="F24" s="56"/>
      <c r="G24" s="56"/>
      <c r="H24" s="56"/>
    </row>
    <row r="25">
      <c r="D25" s="56"/>
      <c r="E25" s="56"/>
      <c r="F25" s="56"/>
      <c r="G25" s="56"/>
      <c r="H25" s="56"/>
    </row>
    <row r="26">
      <c r="D26" s="56"/>
      <c r="E26" s="56"/>
      <c r="F26" s="56"/>
      <c r="G26" s="56"/>
      <c r="H26" s="56"/>
    </row>
    <row r="27">
      <c r="D27" s="56"/>
      <c r="E27" s="56"/>
      <c r="F27" s="56"/>
      <c r="G27" s="56"/>
      <c r="H27" s="56"/>
    </row>
    <row r="28">
      <c r="D28" s="56"/>
      <c r="E28" s="56"/>
      <c r="F28" s="56"/>
      <c r="G28" s="56"/>
      <c r="H28" s="56"/>
    </row>
    <row r="29">
      <c r="D29" s="56"/>
      <c r="E29" s="56"/>
      <c r="F29" s="56"/>
      <c r="G29" s="56"/>
      <c r="H29" s="56"/>
    </row>
    <row r="30">
      <c r="D30" s="56"/>
      <c r="E30" s="56"/>
      <c r="F30" s="56"/>
      <c r="G30" s="56"/>
      <c r="H30" s="56"/>
    </row>
    <row r="31">
      <c r="D31" s="56"/>
      <c r="E31" s="56"/>
      <c r="F31" s="56"/>
      <c r="G31" s="56"/>
      <c r="H31" s="56"/>
    </row>
    <row r="32">
      <c r="D32" s="56"/>
      <c r="E32" s="56"/>
      <c r="F32" s="56"/>
      <c r="G32" s="56"/>
      <c r="H32" s="56"/>
    </row>
    <row r="33">
      <c r="D33" s="56"/>
      <c r="E33" s="56"/>
      <c r="F33" s="56"/>
      <c r="G33" s="56"/>
      <c r="H33" s="56"/>
    </row>
    <row r="34">
      <c r="D34" s="56"/>
      <c r="E34" s="56"/>
      <c r="F34" s="56"/>
      <c r="G34" s="56"/>
      <c r="H34" s="56"/>
    </row>
    <row r="35">
      <c r="D35" s="56"/>
      <c r="E35" s="56"/>
      <c r="F35" s="56"/>
      <c r="G35" s="56"/>
      <c r="H35" s="56"/>
    </row>
    <row r="36">
      <c r="D36" s="56"/>
      <c r="E36" s="56"/>
      <c r="F36" s="56"/>
      <c r="G36" s="56"/>
      <c r="H36" s="56"/>
    </row>
    <row r="37">
      <c r="D37" s="56"/>
      <c r="E37" s="56"/>
      <c r="F37" s="56"/>
      <c r="G37" s="56"/>
      <c r="H37" s="56"/>
    </row>
    <row r="38">
      <c r="D38" s="56"/>
      <c r="E38" s="56"/>
      <c r="F38" s="56"/>
      <c r="G38" s="56"/>
      <c r="H38" s="56"/>
    </row>
    <row r="39">
      <c r="D39" s="56"/>
      <c r="E39" s="56"/>
      <c r="F39" s="56"/>
      <c r="G39" s="56"/>
      <c r="H39" s="56"/>
    </row>
    <row r="40">
      <c r="D40" s="56"/>
      <c r="E40" s="56"/>
      <c r="F40" s="56"/>
      <c r="G40" s="56"/>
      <c r="H40" s="56"/>
    </row>
    <row r="41">
      <c r="D41" s="56"/>
      <c r="E41" s="56"/>
      <c r="F41" s="56"/>
      <c r="G41" s="56"/>
      <c r="H41" s="56"/>
    </row>
    <row r="42">
      <c r="D42" s="56"/>
      <c r="E42" s="56"/>
      <c r="F42" s="56"/>
      <c r="G42" s="56"/>
      <c r="H42" s="56"/>
    </row>
    <row r="43">
      <c r="D43" s="56"/>
      <c r="E43" s="56"/>
      <c r="F43" s="56"/>
      <c r="G43" s="56"/>
      <c r="H43" s="56"/>
    </row>
    <row r="44">
      <c r="D44" s="56"/>
      <c r="E44" s="56"/>
      <c r="F44" s="56"/>
      <c r="G44" s="56"/>
      <c r="H44" s="56"/>
    </row>
    <row r="45">
      <c r="D45" s="56"/>
      <c r="E45" s="56"/>
      <c r="F45" s="56"/>
      <c r="G45" s="56"/>
      <c r="H45" s="56"/>
    </row>
    <row r="46">
      <c r="D46" s="56"/>
      <c r="E46" s="56"/>
      <c r="F46" s="56"/>
      <c r="G46" s="56"/>
      <c r="H46" s="56"/>
    </row>
    <row r="47">
      <c r="D47" s="56"/>
      <c r="E47" s="56"/>
      <c r="F47" s="56"/>
      <c r="G47" s="56"/>
      <c r="H47" s="56"/>
    </row>
    <row r="48">
      <c r="D48" s="56"/>
      <c r="E48" s="56"/>
      <c r="F48" s="56"/>
      <c r="G48" s="56"/>
      <c r="H48" s="56"/>
    </row>
    <row r="49">
      <c r="D49" s="56"/>
      <c r="E49" s="56"/>
      <c r="F49" s="56"/>
      <c r="G49" s="56"/>
      <c r="H49" s="56"/>
    </row>
    <row r="50">
      <c r="D50" s="56"/>
      <c r="E50" s="56"/>
      <c r="F50" s="56"/>
      <c r="G50" s="56"/>
      <c r="H50" s="56"/>
    </row>
    <row r="51">
      <c r="D51" s="56"/>
      <c r="E51" s="56"/>
      <c r="F51" s="56"/>
      <c r="G51" s="56"/>
      <c r="H51" s="56"/>
    </row>
    <row r="52">
      <c r="D52" s="56"/>
      <c r="E52" s="56"/>
      <c r="F52" s="56"/>
      <c r="G52" s="56"/>
      <c r="H52" s="56"/>
    </row>
    <row r="53">
      <c r="D53" s="56"/>
      <c r="E53" s="56"/>
      <c r="F53" s="56"/>
      <c r="G53" s="56"/>
      <c r="H53" s="56"/>
    </row>
    <row r="54">
      <c r="D54" s="56"/>
      <c r="E54" s="56"/>
      <c r="F54" s="56"/>
      <c r="G54" s="56"/>
      <c r="H54" s="56"/>
    </row>
    <row r="55">
      <c r="D55" s="56"/>
      <c r="E55" s="56"/>
      <c r="F55" s="56"/>
      <c r="G55" s="56"/>
      <c r="H55" s="56"/>
    </row>
    <row r="56">
      <c r="D56" s="56"/>
      <c r="E56" s="56"/>
      <c r="F56" s="56"/>
      <c r="G56" s="56"/>
      <c r="H56" s="56"/>
    </row>
    <row r="57">
      <c r="D57" s="56"/>
      <c r="E57" s="56"/>
      <c r="F57" s="56"/>
      <c r="G57" s="56"/>
      <c r="H57" s="56"/>
    </row>
    <row r="58">
      <c r="D58" s="56"/>
      <c r="E58" s="56"/>
      <c r="F58" s="56"/>
      <c r="G58" s="56"/>
      <c r="H58" s="56"/>
    </row>
    <row r="59">
      <c r="D59" s="56"/>
      <c r="E59" s="56"/>
      <c r="F59" s="56"/>
      <c r="G59" s="56"/>
      <c r="H59" s="56"/>
    </row>
    <row r="60">
      <c r="D60" s="56"/>
      <c r="E60" s="56"/>
      <c r="F60" s="56"/>
      <c r="G60" s="56"/>
      <c r="H60" s="56"/>
    </row>
    <row r="61">
      <c r="D61" s="56"/>
      <c r="E61" s="56"/>
      <c r="F61" s="56"/>
      <c r="G61" s="56"/>
      <c r="H61" s="56"/>
    </row>
    <row r="62">
      <c r="D62" s="56"/>
      <c r="E62" s="56"/>
      <c r="F62" s="56"/>
      <c r="G62" s="56"/>
      <c r="H62" s="56"/>
    </row>
    <row r="63">
      <c r="D63" s="56"/>
      <c r="E63" s="56"/>
      <c r="F63" s="56"/>
      <c r="G63" s="56"/>
      <c r="H63" s="56"/>
    </row>
    <row r="64">
      <c r="D64" s="56"/>
      <c r="E64" s="56"/>
      <c r="F64" s="56"/>
      <c r="G64" s="56"/>
      <c r="H64" s="56"/>
    </row>
    <row r="65">
      <c r="D65" s="56"/>
      <c r="E65" s="56"/>
      <c r="F65" s="56"/>
      <c r="G65" s="56"/>
      <c r="H65" s="56"/>
    </row>
    <row r="66">
      <c r="D66" s="56"/>
      <c r="E66" s="56"/>
      <c r="F66" s="56"/>
      <c r="G66" s="56"/>
      <c r="H66" s="56"/>
    </row>
    <row r="67">
      <c r="D67" s="56"/>
      <c r="E67" s="56"/>
      <c r="F67" s="56"/>
      <c r="G67" s="56"/>
      <c r="H67" s="56"/>
    </row>
    <row r="68">
      <c r="D68" s="56"/>
      <c r="E68" s="56"/>
      <c r="F68" s="56"/>
      <c r="G68" s="56"/>
      <c r="H68" s="56"/>
    </row>
    <row r="69">
      <c r="D69" s="56"/>
      <c r="E69" s="56"/>
      <c r="F69" s="56"/>
      <c r="G69" s="56"/>
      <c r="H69" s="56"/>
    </row>
    <row r="70">
      <c r="D70" s="56"/>
      <c r="E70" s="56"/>
      <c r="F70" s="56"/>
      <c r="G70" s="56"/>
      <c r="H70" s="56"/>
    </row>
    <row r="71">
      <c r="D71" s="56"/>
      <c r="E71" s="56"/>
      <c r="F71" s="56"/>
      <c r="G71" s="56"/>
      <c r="H71" s="56"/>
    </row>
    <row r="72">
      <c r="D72" s="56"/>
      <c r="E72" s="56"/>
      <c r="F72" s="56"/>
      <c r="G72" s="56"/>
      <c r="H72" s="56"/>
    </row>
    <row r="73">
      <c r="D73" s="56"/>
      <c r="E73" s="56"/>
      <c r="F73" s="56"/>
      <c r="G73" s="56"/>
      <c r="H73" s="56"/>
    </row>
    <row r="74">
      <c r="D74" s="56"/>
      <c r="E74" s="56"/>
      <c r="F74" s="56"/>
      <c r="G74" s="56"/>
      <c r="H74" s="56"/>
    </row>
    <row r="75">
      <c r="D75" s="56"/>
      <c r="E75" s="56"/>
      <c r="F75" s="56"/>
      <c r="G75" s="56"/>
      <c r="H75" s="56"/>
    </row>
    <row r="76">
      <c r="D76" s="56"/>
      <c r="E76" s="56"/>
      <c r="F76" s="56"/>
      <c r="G76" s="56"/>
      <c r="H76" s="56"/>
    </row>
    <row r="77">
      <c r="D77" s="56"/>
      <c r="E77" s="56"/>
      <c r="F77" s="56"/>
      <c r="G77" s="56"/>
      <c r="H77" s="56"/>
    </row>
    <row r="78">
      <c r="D78" s="56"/>
      <c r="E78" s="56"/>
      <c r="F78" s="56"/>
      <c r="G78" s="56"/>
      <c r="H78" s="56"/>
    </row>
    <row r="79">
      <c r="D79" s="56"/>
      <c r="E79" s="56"/>
      <c r="F79" s="56"/>
      <c r="G79" s="56"/>
      <c r="H79" s="56"/>
    </row>
    <row r="80">
      <c r="D80" s="56"/>
      <c r="E80" s="56"/>
      <c r="F80" s="56"/>
      <c r="G80" s="56"/>
      <c r="H80" s="56"/>
    </row>
    <row r="81">
      <c r="D81" s="56"/>
      <c r="E81" s="56"/>
      <c r="F81" s="56"/>
      <c r="G81" s="56"/>
      <c r="H81" s="56"/>
    </row>
    <row r="82">
      <c r="D82" s="56"/>
      <c r="E82" s="56"/>
      <c r="F82" s="56"/>
      <c r="G82" s="56"/>
      <c r="H82" s="56"/>
    </row>
    <row r="83">
      <c r="D83" s="56"/>
      <c r="E83" s="56"/>
      <c r="F83" s="56"/>
      <c r="G83" s="56"/>
      <c r="H83" s="56"/>
    </row>
    <row r="84">
      <c r="D84" s="56"/>
      <c r="E84" s="56"/>
      <c r="F84" s="56"/>
      <c r="G84" s="56"/>
      <c r="H84" s="56"/>
    </row>
    <row r="85">
      <c r="D85" s="56"/>
      <c r="E85" s="56"/>
      <c r="F85" s="56"/>
      <c r="G85" s="56"/>
      <c r="H85" s="56"/>
    </row>
    <row r="86">
      <c r="D86" s="56"/>
      <c r="E86" s="56"/>
      <c r="F86" s="56"/>
      <c r="G86" s="56"/>
      <c r="H86" s="56"/>
    </row>
    <row r="87">
      <c r="D87" s="56"/>
      <c r="E87" s="56"/>
      <c r="F87" s="56"/>
      <c r="G87" s="56"/>
      <c r="H87" s="56"/>
    </row>
    <row r="88">
      <c r="D88" s="56"/>
      <c r="E88" s="56"/>
      <c r="F88" s="56"/>
      <c r="G88" s="56"/>
      <c r="H88" s="56"/>
    </row>
    <row r="89">
      <c r="D89" s="56"/>
      <c r="E89" s="56"/>
      <c r="F89" s="56"/>
      <c r="G89" s="56"/>
      <c r="H89" s="56"/>
    </row>
    <row r="90">
      <c r="D90" s="56"/>
      <c r="E90" s="56"/>
      <c r="F90" s="56"/>
      <c r="G90" s="56"/>
      <c r="H90" s="56"/>
    </row>
    <row r="91">
      <c r="D91" s="56"/>
      <c r="E91" s="56"/>
      <c r="F91" s="56"/>
      <c r="G91" s="56"/>
      <c r="H91" s="56"/>
    </row>
    <row r="92">
      <c r="D92" s="56"/>
      <c r="E92" s="56"/>
      <c r="F92" s="56"/>
      <c r="G92" s="56"/>
      <c r="H92" s="56"/>
    </row>
    <row r="93">
      <c r="D93" s="56"/>
      <c r="E93" s="56"/>
      <c r="F93" s="56"/>
      <c r="G93" s="56"/>
      <c r="H93" s="56"/>
    </row>
    <row r="94">
      <c r="D94" s="56"/>
      <c r="E94" s="56"/>
      <c r="F94" s="56"/>
      <c r="G94" s="56"/>
      <c r="H94" s="56"/>
    </row>
    <row r="95">
      <c r="D95" s="56"/>
      <c r="E95" s="56"/>
      <c r="F95" s="56"/>
      <c r="G95" s="56"/>
      <c r="H95" s="56"/>
    </row>
    <row r="96">
      <c r="D96" s="56"/>
      <c r="E96" s="56"/>
      <c r="F96" s="56"/>
      <c r="G96" s="56"/>
      <c r="H96" s="56"/>
    </row>
    <row r="97">
      <c r="D97" s="56"/>
      <c r="E97" s="56"/>
      <c r="F97" s="56"/>
      <c r="G97" s="56"/>
      <c r="H97" s="56"/>
    </row>
    <row r="98">
      <c r="D98" s="56"/>
      <c r="E98" s="56"/>
      <c r="F98" s="56"/>
      <c r="G98" s="56"/>
      <c r="H98" s="56"/>
    </row>
    <row r="99">
      <c r="D99" s="56"/>
      <c r="E99" s="56"/>
      <c r="F99" s="56"/>
      <c r="G99" s="56"/>
      <c r="H99" s="56"/>
    </row>
    <row r="100">
      <c r="D100" s="56"/>
      <c r="E100" s="56"/>
      <c r="F100" s="56"/>
      <c r="G100" s="56"/>
      <c r="H100" s="56"/>
    </row>
    <row r="101">
      <c r="D101" s="56"/>
      <c r="E101" s="56"/>
      <c r="F101" s="56"/>
      <c r="G101" s="56"/>
      <c r="H101" s="56"/>
    </row>
    <row r="102">
      <c r="D102" s="56"/>
      <c r="E102" s="56"/>
      <c r="F102" s="56"/>
      <c r="G102" s="56"/>
      <c r="H102" s="56"/>
    </row>
    <row r="103">
      <c r="D103" s="56"/>
      <c r="E103" s="56"/>
      <c r="F103" s="56"/>
      <c r="G103" s="56"/>
      <c r="H103" s="56"/>
    </row>
    <row r="104">
      <c r="D104" s="56"/>
      <c r="E104" s="56"/>
      <c r="F104" s="56"/>
      <c r="G104" s="56"/>
      <c r="H104" s="56"/>
    </row>
    <row r="105">
      <c r="D105" s="56"/>
      <c r="E105" s="56"/>
      <c r="F105" s="56"/>
      <c r="G105" s="56"/>
      <c r="H105" s="56"/>
    </row>
    <row r="106">
      <c r="D106" s="56"/>
      <c r="E106" s="56"/>
      <c r="F106" s="56"/>
      <c r="G106" s="56"/>
      <c r="H106" s="56"/>
    </row>
    <row r="107">
      <c r="D107" s="56"/>
      <c r="E107" s="56"/>
      <c r="F107" s="56"/>
      <c r="G107" s="56"/>
      <c r="H107" s="56"/>
    </row>
    <row r="108">
      <c r="D108" s="56"/>
      <c r="E108" s="56"/>
      <c r="F108" s="56"/>
      <c r="G108" s="56"/>
      <c r="H108" s="56"/>
    </row>
    <row r="109">
      <c r="D109" s="56"/>
      <c r="E109" s="56"/>
      <c r="F109" s="56"/>
      <c r="G109" s="56"/>
      <c r="H109" s="56"/>
    </row>
    <row r="110">
      <c r="D110" s="56"/>
      <c r="E110" s="56"/>
      <c r="F110" s="56"/>
      <c r="G110" s="56"/>
      <c r="H110" s="56"/>
    </row>
    <row r="111">
      <c r="D111" s="56"/>
      <c r="E111" s="56"/>
      <c r="F111" s="56"/>
      <c r="G111" s="56"/>
      <c r="H111" s="56"/>
    </row>
    <row r="112">
      <c r="D112" s="56"/>
      <c r="E112" s="56"/>
      <c r="F112" s="56"/>
      <c r="G112" s="56"/>
      <c r="H112" s="56"/>
    </row>
    <row r="113">
      <c r="D113" s="56"/>
      <c r="E113" s="56"/>
      <c r="F113" s="56"/>
      <c r="G113" s="56"/>
      <c r="H113" s="56"/>
    </row>
    <row r="114">
      <c r="D114" s="56"/>
      <c r="E114" s="56"/>
      <c r="F114" s="56"/>
      <c r="G114" s="56"/>
      <c r="H114" s="56"/>
    </row>
    <row r="115">
      <c r="D115" s="56"/>
      <c r="E115" s="56"/>
      <c r="F115" s="56"/>
      <c r="G115" s="56"/>
      <c r="H115" s="56"/>
    </row>
    <row r="116">
      <c r="D116" s="56"/>
      <c r="E116" s="56"/>
      <c r="F116" s="56"/>
      <c r="G116" s="56"/>
      <c r="H116" s="56"/>
    </row>
    <row r="117">
      <c r="D117" s="56"/>
      <c r="E117" s="56"/>
      <c r="F117" s="56"/>
      <c r="G117" s="56"/>
      <c r="H117" s="56"/>
    </row>
    <row r="118">
      <c r="D118" s="56"/>
      <c r="E118" s="56"/>
      <c r="F118" s="56"/>
      <c r="G118" s="56"/>
      <c r="H118" s="56"/>
    </row>
    <row r="119">
      <c r="D119" s="56"/>
      <c r="E119" s="56"/>
      <c r="F119" s="56"/>
      <c r="G119" s="56"/>
      <c r="H119" s="56"/>
    </row>
    <row r="120">
      <c r="D120" s="56"/>
      <c r="E120" s="56"/>
      <c r="F120" s="56"/>
      <c r="G120" s="56"/>
      <c r="H120" s="56"/>
    </row>
    <row r="121">
      <c r="D121" s="56"/>
      <c r="E121" s="56"/>
      <c r="F121" s="56"/>
      <c r="G121" s="56"/>
      <c r="H121" s="56"/>
    </row>
    <row r="122">
      <c r="D122" s="56"/>
      <c r="E122" s="56"/>
      <c r="F122" s="56"/>
      <c r="G122" s="56"/>
      <c r="H122" s="56"/>
    </row>
    <row r="123">
      <c r="D123" s="56"/>
      <c r="E123" s="56"/>
      <c r="F123" s="56"/>
      <c r="G123" s="56"/>
      <c r="H123" s="56"/>
    </row>
    <row r="124">
      <c r="D124" s="56"/>
      <c r="E124" s="56"/>
      <c r="F124" s="56"/>
      <c r="G124" s="56"/>
      <c r="H124" s="56"/>
    </row>
    <row r="125">
      <c r="D125" s="56"/>
      <c r="E125" s="56"/>
      <c r="F125" s="56"/>
      <c r="G125" s="56"/>
      <c r="H125" s="56"/>
    </row>
    <row r="126">
      <c r="D126" s="56"/>
      <c r="E126" s="56"/>
      <c r="F126" s="56"/>
      <c r="G126" s="56"/>
      <c r="H126" s="56"/>
    </row>
    <row r="127">
      <c r="D127" s="56"/>
      <c r="E127" s="56"/>
      <c r="F127" s="56"/>
      <c r="G127" s="56"/>
      <c r="H127" s="56"/>
    </row>
    <row r="128">
      <c r="D128" s="56"/>
      <c r="E128" s="56"/>
      <c r="F128" s="56"/>
      <c r="G128" s="56"/>
      <c r="H128" s="56"/>
    </row>
    <row r="129">
      <c r="D129" s="56"/>
      <c r="E129" s="56"/>
      <c r="F129" s="56"/>
      <c r="G129" s="56"/>
      <c r="H129" s="56"/>
    </row>
    <row r="130">
      <c r="D130" s="56"/>
      <c r="E130" s="56"/>
      <c r="F130" s="56"/>
      <c r="G130" s="56"/>
      <c r="H130" s="56"/>
    </row>
    <row r="131">
      <c r="D131" s="56"/>
      <c r="E131" s="56"/>
      <c r="F131" s="56"/>
      <c r="G131" s="56"/>
      <c r="H131" s="56"/>
    </row>
    <row r="132">
      <c r="D132" s="56"/>
      <c r="E132" s="56"/>
      <c r="F132" s="56"/>
      <c r="G132" s="56"/>
      <c r="H132" s="56"/>
    </row>
    <row r="133">
      <c r="D133" s="56"/>
      <c r="E133" s="56"/>
      <c r="F133" s="56"/>
      <c r="G133" s="56"/>
      <c r="H133" s="56"/>
    </row>
    <row r="134">
      <c r="D134" s="56"/>
      <c r="E134" s="56"/>
      <c r="F134" s="56"/>
      <c r="G134" s="56"/>
      <c r="H134" s="56"/>
    </row>
    <row r="135">
      <c r="D135" s="56"/>
      <c r="E135" s="56"/>
      <c r="F135" s="56"/>
      <c r="G135" s="56"/>
      <c r="H135" s="56"/>
    </row>
    <row r="136">
      <c r="D136" s="56"/>
      <c r="E136" s="56"/>
      <c r="F136" s="56"/>
      <c r="G136" s="56"/>
      <c r="H136" s="56"/>
    </row>
    <row r="137">
      <c r="D137" s="56"/>
      <c r="E137" s="56"/>
      <c r="F137" s="56"/>
      <c r="G137" s="56"/>
      <c r="H137" s="56"/>
    </row>
    <row r="138">
      <c r="D138" s="56"/>
      <c r="E138" s="56"/>
      <c r="F138" s="56"/>
      <c r="G138" s="56"/>
      <c r="H138" s="56"/>
    </row>
    <row r="139">
      <c r="D139" s="56"/>
      <c r="E139" s="56"/>
      <c r="F139" s="56"/>
      <c r="G139" s="56"/>
      <c r="H139" s="56"/>
    </row>
    <row r="140">
      <c r="D140" s="56"/>
      <c r="E140" s="56"/>
      <c r="F140" s="56"/>
      <c r="G140" s="56"/>
      <c r="H140" s="56"/>
    </row>
    <row r="141">
      <c r="D141" s="56"/>
      <c r="E141" s="56"/>
      <c r="F141" s="56"/>
      <c r="G141" s="56"/>
      <c r="H141" s="56"/>
    </row>
    <row r="142">
      <c r="D142" s="56"/>
      <c r="E142" s="56"/>
      <c r="F142" s="56"/>
      <c r="G142" s="56"/>
      <c r="H142" s="56"/>
    </row>
    <row r="143">
      <c r="D143" s="56"/>
      <c r="E143" s="56"/>
      <c r="F143" s="56"/>
      <c r="G143" s="56"/>
      <c r="H143" s="56"/>
    </row>
    <row r="144">
      <c r="D144" s="56"/>
      <c r="E144" s="56"/>
      <c r="F144" s="56"/>
      <c r="G144" s="56"/>
      <c r="H144" s="56"/>
    </row>
    <row r="145">
      <c r="D145" s="56"/>
      <c r="E145" s="56"/>
      <c r="F145" s="56"/>
      <c r="G145" s="56"/>
      <c r="H145" s="56"/>
    </row>
    <row r="146">
      <c r="D146" s="56"/>
      <c r="E146" s="56"/>
      <c r="F146" s="56"/>
      <c r="G146" s="56"/>
      <c r="H146" s="56"/>
    </row>
    <row r="147">
      <c r="D147" s="56"/>
      <c r="E147" s="56"/>
      <c r="F147" s="56"/>
      <c r="G147" s="56"/>
      <c r="H147" s="56"/>
    </row>
    <row r="148">
      <c r="D148" s="56"/>
      <c r="E148" s="56"/>
      <c r="F148" s="56"/>
      <c r="G148" s="56"/>
      <c r="H148" s="56"/>
    </row>
    <row r="149">
      <c r="D149" s="56"/>
      <c r="E149" s="56"/>
      <c r="F149" s="56"/>
      <c r="G149" s="56"/>
      <c r="H149" s="56"/>
    </row>
    <row r="150">
      <c r="D150" s="56"/>
      <c r="E150" s="56"/>
      <c r="F150" s="56"/>
      <c r="G150" s="56"/>
      <c r="H150" s="56"/>
    </row>
    <row r="151">
      <c r="D151" s="56"/>
      <c r="E151" s="56"/>
      <c r="F151" s="56"/>
      <c r="G151" s="56"/>
      <c r="H151" s="56"/>
    </row>
    <row r="152">
      <c r="D152" s="56"/>
      <c r="E152" s="56"/>
      <c r="F152" s="56"/>
      <c r="G152" s="56"/>
      <c r="H152" s="56"/>
    </row>
    <row r="153">
      <c r="D153" s="56"/>
      <c r="E153" s="56"/>
      <c r="F153" s="56"/>
      <c r="G153" s="56"/>
      <c r="H153" s="56"/>
    </row>
    <row r="154">
      <c r="D154" s="56"/>
      <c r="E154" s="56"/>
      <c r="F154" s="56"/>
      <c r="G154" s="56"/>
      <c r="H154" s="56"/>
    </row>
    <row r="155">
      <c r="D155" s="56"/>
      <c r="E155" s="56"/>
      <c r="F155" s="56"/>
      <c r="G155" s="56"/>
      <c r="H155" s="56"/>
    </row>
    <row r="156">
      <c r="D156" s="56"/>
      <c r="E156" s="56"/>
      <c r="F156" s="56"/>
      <c r="G156" s="56"/>
      <c r="H156" s="56"/>
    </row>
    <row r="157">
      <c r="D157" s="56"/>
      <c r="E157" s="56"/>
      <c r="F157" s="56"/>
      <c r="G157" s="56"/>
      <c r="H157" s="56"/>
    </row>
    <row r="158">
      <c r="D158" s="56"/>
      <c r="E158" s="56"/>
      <c r="F158" s="56"/>
      <c r="G158" s="56"/>
      <c r="H158" s="56"/>
    </row>
    <row r="159">
      <c r="D159" s="56"/>
      <c r="E159" s="56"/>
      <c r="F159" s="56"/>
      <c r="G159" s="56"/>
      <c r="H159" s="56"/>
    </row>
    <row r="160">
      <c r="D160" s="56"/>
      <c r="E160" s="56"/>
      <c r="F160" s="56"/>
      <c r="G160" s="56"/>
      <c r="H160" s="56"/>
    </row>
    <row r="161">
      <c r="D161" s="56"/>
      <c r="E161" s="56"/>
      <c r="F161" s="56"/>
      <c r="G161" s="56"/>
      <c r="H161" s="56"/>
    </row>
    <row r="162">
      <c r="D162" s="56"/>
      <c r="E162" s="56"/>
      <c r="F162" s="56"/>
      <c r="G162" s="56"/>
      <c r="H162" s="56"/>
    </row>
    <row r="163">
      <c r="D163" s="56"/>
      <c r="E163" s="56"/>
      <c r="F163" s="56"/>
      <c r="G163" s="56"/>
      <c r="H163" s="56"/>
    </row>
    <row r="164">
      <c r="D164" s="56"/>
      <c r="E164" s="56"/>
      <c r="F164" s="56"/>
      <c r="G164" s="56"/>
      <c r="H164" s="56"/>
    </row>
    <row r="165">
      <c r="D165" s="56"/>
      <c r="E165" s="56"/>
      <c r="F165" s="56"/>
      <c r="G165" s="56"/>
      <c r="H165" s="56"/>
    </row>
    <row r="166">
      <c r="D166" s="56"/>
      <c r="E166" s="56"/>
      <c r="F166" s="56"/>
      <c r="G166" s="56"/>
      <c r="H166" s="56"/>
    </row>
    <row r="167">
      <c r="D167" s="56"/>
      <c r="E167" s="56"/>
      <c r="F167" s="56"/>
      <c r="G167" s="56"/>
      <c r="H167" s="56"/>
    </row>
    <row r="168">
      <c r="D168" s="56"/>
      <c r="E168" s="56"/>
      <c r="F168" s="56"/>
      <c r="G168" s="56"/>
      <c r="H168" s="56"/>
    </row>
    <row r="169">
      <c r="D169" s="56"/>
      <c r="E169" s="56"/>
      <c r="F169" s="56"/>
      <c r="G169" s="56"/>
      <c r="H169" s="56"/>
    </row>
    <row r="170">
      <c r="D170" s="56"/>
      <c r="E170" s="56"/>
      <c r="F170" s="56"/>
      <c r="G170" s="56"/>
      <c r="H170" s="56"/>
    </row>
    <row r="171">
      <c r="D171" s="56"/>
      <c r="E171" s="56"/>
      <c r="F171" s="56"/>
      <c r="G171" s="56"/>
      <c r="H171" s="56"/>
    </row>
    <row r="172">
      <c r="D172" s="56"/>
      <c r="E172" s="56"/>
      <c r="F172" s="56"/>
      <c r="G172" s="56"/>
      <c r="H172" s="56"/>
    </row>
    <row r="173">
      <c r="D173" s="56"/>
      <c r="E173" s="56"/>
      <c r="F173" s="56"/>
      <c r="G173" s="56"/>
      <c r="H173" s="56"/>
    </row>
    <row r="174">
      <c r="D174" s="56"/>
      <c r="E174" s="56"/>
      <c r="F174" s="56"/>
      <c r="G174" s="56"/>
      <c r="H174" s="56"/>
    </row>
    <row r="175">
      <c r="D175" s="56"/>
      <c r="E175" s="56"/>
      <c r="F175" s="56"/>
      <c r="G175" s="56"/>
      <c r="H175" s="56"/>
    </row>
    <row r="176">
      <c r="D176" s="56"/>
      <c r="E176" s="56"/>
      <c r="F176" s="56"/>
      <c r="G176" s="56"/>
      <c r="H176" s="56"/>
    </row>
    <row r="177">
      <c r="D177" s="56"/>
      <c r="E177" s="56"/>
      <c r="F177" s="56"/>
      <c r="G177" s="56"/>
      <c r="H177" s="56"/>
    </row>
    <row r="178">
      <c r="D178" s="56"/>
      <c r="E178" s="56"/>
      <c r="F178" s="56"/>
      <c r="G178" s="56"/>
      <c r="H178" s="56"/>
    </row>
    <row r="179">
      <c r="D179" s="56"/>
      <c r="E179" s="56"/>
      <c r="F179" s="56"/>
      <c r="G179" s="56"/>
      <c r="H179" s="56"/>
    </row>
    <row r="180">
      <c r="D180" s="56"/>
      <c r="E180" s="56"/>
      <c r="F180" s="56"/>
      <c r="G180" s="56"/>
      <c r="H180" s="56"/>
    </row>
    <row r="181">
      <c r="D181" s="56"/>
      <c r="E181" s="56"/>
      <c r="F181" s="56"/>
      <c r="G181" s="56"/>
      <c r="H181" s="56"/>
    </row>
    <row r="182">
      <c r="D182" s="56"/>
      <c r="E182" s="56"/>
      <c r="F182" s="56"/>
      <c r="G182" s="56"/>
      <c r="H182" s="56"/>
    </row>
    <row r="183">
      <c r="D183" s="56"/>
      <c r="E183" s="56"/>
      <c r="F183" s="56"/>
      <c r="G183" s="56"/>
      <c r="H183" s="56"/>
    </row>
    <row r="184">
      <c r="D184" s="56"/>
      <c r="E184" s="56"/>
      <c r="F184" s="56"/>
      <c r="G184" s="56"/>
      <c r="H184" s="56"/>
    </row>
    <row r="185">
      <c r="D185" s="56"/>
      <c r="E185" s="56"/>
      <c r="F185" s="56"/>
      <c r="G185" s="56"/>
      <c r="H185" s="56"/>
    </row>
    <row r="186">
      <c r="D186" s="56"/>
      <c r="E186" s="56"/>
      <c r="F186" s="56"/>
      <c r="G186" s="56"/>
      <c r="H186" s="56"/>
    </row>
    <row r="187">
      <c r="D187" s="56"/>
      <c r="E187" s="56"/>
      <c r="F187" s="56"/>
      <c r="G187" s="56"/>
      <c r="H187" s="56"/>
    </row>
    <row r="188">
      <c r="D188" s="56"/>
      <c r="E188" s="56"/>
      <c r="F188" s="56"/>
      <c r="G188" s="56"/>
      <c r="H188" s="56"/>
    </row>
    <row r="189">
      <c r="D189" s="56"/>
      <c r="E189" s="56"/>
      <c r="F189" s="56"/>
      <c r="G189" s="56"/>
      <c r="H189" s="56"/>
    </row>
    <row r="190">
      <c r="D190" s="56"/>
      <c r="E190" s="56"/>
      <c r="F190" s="56"/>
      <c r="G190" s="56"/>
      <c r="H190" s="56"/>
    </row>
    <row r="191">
      <c r="D191" s="56"/>
      <c r="E191" s="56"/>
      <c r="F191" s="56"/>
      <c r="G191" s="56"/>
      <c r="H191" s="56"/>
    </row>
    <row r="192">
      <c r="D192" s="56"/>
      <c r="E192" s="56"/>
      <c r="F192" s="56"/>
      <c r="G192" s="56"/>
      <c r="H192" s="56"/>
    </row>
    <row r="193">
      <c r="D193" s="56"/>
      <c r="E193" s="56"/>
      <c r="F193" s="56"/>
      <c r="G193" s="56"/>
      <c r="H193" s="56"/>
    </row>
    <row r="194">
      <c r="D194" s="56"/>
      <c r="E194" s="56"/>
      <c r="F194" s="56"/>
      <c r="G194" s="56"/>
      <c r="H194" s="56"/>
    </row>
    <row r="195">
      <c r="D195" s="56"/>
      <c r="E195" s="56"/>
      <c r="F195" s="56"/>
      <c r="G195" s="56"/>
      <c r="H195" s="56"/>
    </row>
    <row r="196">
      <c r="D196" s="56"/>
      <c r="E196" s="56"/>
      <c r="F196" s="56"/>
      <c r="G196" s="56"/>
      <c r="H196" s="56"/>
    </row>
    <row r="197">
      <c r="D197" s="56"/>
      <c r="E197" s="56"/>
      <c r="F197" s="56"/>
      <c r="G197" s="56"/>
      <c r="H197" s="56"/>
    </row>
    <row r="198">
      <c r="D198" s="56"/>
      <c r="E198" s="56"/>
      <c r="F198" s="56"/>
      <c r="G198" s="56"/>
      <c r="H198" s="56"/>
    </row>
    <row r="199">
      <c r="D199" s="56"/>
      <c r="E199" s="56"/>
      <c r="F199" s="56"/>
      <c r="G199" s="56"/>
      <c r="H199" s="56"/>
    </row>
    <row r="200">
      <c r="D200" s="56"/>
      <c r="E200" s="56"/>
      <c r="F200" s="56"/>
      <c r="G200" s="56"/>
      <c r="H200" s="56"/>
    </row>
    <row r="201">
      <c r="D201" s="56"/>
      <c r="E201" s="56"/>
      <c r="F201" s="56"/>
      <c r="G201" s="56"/>
      <c r="H201" s="56"/>
    </row>
    <row r="202">
      <c r="D202" s="56"/>
      <c r="E202" s="56"/>
      <c r="F202" s="56"/>
      <c r="G202" s="56"/>
      <c r="H202" s="56"/>
    </row>
    <row r="203">
      <c r="D203" s="56"/>
      <c r="E203" s="56"/>
      <c r="F203" s="56"/>
      <c r="G203" s="56"/>
      <c r="H203" s="56"/>
    </row>
    <row r="204">
      <c r="D204" s="56"/>
      <c r="E204" s="56"/>
      <c r="F204" s="56"/>
      <c r="G204" s="56"/>
      <c r="H204" s="56"/>
    </row>
    <row r="205">
      <c r="D205" s="56"/>
      <c r="E205" s="56"/>
      <c r="F205" s="56"/>
      <c r="G205" s="56"/>
      <c r="H205" s="56"/>
    </row>
    <row r="206">
      <c r="D206" s="56"/>
      <c r="E206" s="56"/>
      <c r="F206" s="56"/>
      <c r="G206" s="56"/>
      <c r="H206" s="56"/>
    </row>
    <row r="207">
      <c r="D207" s="56"/>
      <c r="E207" s="56"/>
      <c r="F207" s="56"/>
      <c r="G207" s="56"/>
      <c r="H207" s="56"/>
    </row>
    <row r="208">
      <c r="D208" s="56"/>
      <c r="E208" s="56"/>
      <c r="F208" s="56"/>
      <c r="G208" s="56"/>
      <c r="H208" s="56"/>
    </row>
    <row r="209">
      <c r="D209" s="56"/>
      <c r="E209" s="56"/>
      <c r="F209" s="56"/>
      <c r="G209" s="56"/>
      <c r="H209" s="56"/>
    </row>
    <row r="210">
      <c r="D210" s="56"/>
      <c r="E210" s="56"/>
      <c r="F210" s="56"/>
      <c r="G210" s="56"/>
      <c r="H210" s="56"/>
    </row>
    <row r="211">
      <c r="D211" s="56"/>
      <c r="E211" s="56"/>
      <c r="F211" s="56"/>
      <c r="G211" s="56"/>
      <c r="H211" s="56"/>
    </row>
    <row r="212">
      <c r="D212" s="56"/>
      <c r="E212" s="56"/>
      <c r="F212" s="56"/>
      <c r="G212" s="56"/>
      <c r="H212" s="56"/>
    </row>
    <row r="213">
      <c r="D213" s="56"/>
      <c r="E213" s="56"/>
      <c r="F213" s="56"/>
      <c r="G213" s="56"/>
      <c r="H213" s="56"/>
    </row>
    <row r="214">
      <c r="D214" s="56"/>
      <c r="E214" s="56"/>
      <c r="F214" s="56"/>
      <c r="G214" s="56"/>
      <c r="H214" s="56"/>
    </row>
    <row r="215">
      <c r="D215" s="56"/>
      <c r="E215" s="56"/>
      <c r="F215" s="56"/>
      <c r="G215" s="56"/>
      <c r="H215" s="56"/>
    </row>
    <row r="216">
      <c r="D216" s="56"/>
      <c r="E216" s="56"/>
      <c r="F216" s="56"/>
      <c r="G216" s="56"/>
      <c r="H216" s="56"/>
    </row>
    <row r="217">
      <c r="D217" s="56"/>
      <c r="E217" s="56"/>
      <c r="F217" s="56"/>
      <c r="G217" s="56"/>
      <c r="H217" s="56"/>
    </row>
    <row r="218">
      <c r="D218" s="56"/>
      <c r="E218" s="56"/>
      <c r="F218" s="56"/>
      <c r="G218" s="56"/>
      <c r="H218" s="56"/>
    </row>
    <row r="219">
      <c r="D219" s="56"/>
      <c r="E219" s="56"/>
      <c r="F219" s="56"/>
      <c r="G219" s="56"/>
      <c r="H219" s="56"/>
    </row>
    <row r="220">
      <c r="D220" s="56"/>
      <c r="E220" s="56"/>
      <c r="F220" s="56"/>
      <c r="G220" s="56"/>
      <c r="H220" s="56"/>
    </row>
    <row r="221">
      <c r="D221" s="56"/>
      <c r="E221" s="56"/>
      <c r="F221" s="56"/>
      <c r="G221" s="56"/>
      <c r="H221" s="56"/>
    </row>
    <row r="222">
      <c r="D222" s="56"/>
      <c r="E222" s="56"/>
      <c r="F222" s="56"/>
      <c r="G222" s="56"/>
      <c r="H222" s="56"/>
    </row>
    <row r="223">
      <c r="D223" s="56"/>
      <c r="E223" s="56"/>
      <c r="F223" s="56"/>
      <c r="G223" s="56"/>
      <c r="H223" s="56"/>
    </row>
    <row r="224">
      <c r="D224" s="56"/>
      <c r="E224" s="56"/>
      <c r="F224" s="56"/>
      <c r="G224" s="56"/>
      <c r="H224" s="56"/>
    </row>
    <row r="225">
      <c r="D225" s="56"/>
      <c r="E225" s="56"/>
      <c r="F225" s="56"/>
      <c r="G225" s="56"/>
      <c r="H225" s="56"/>
    </row>
    <row r="226">
      <c r="D226" s="56"/>
      <c r="E226" s="56"/>
      <c r="F226" s="56"/>
      <c r="G226" s="56"/>
      <c r="H226" s="56"/>
    </row>
    <row r="227">
      <c r="D227" s="56"/>
      <c r="E227" s="56"/>
      <c r="F227" s="56"/>
      <c r="G227" s="56"/>
      <c r="H227" s="56"/>
    </row>
    <row r="228">
      <c r="D228" s="56"/>
      <c r="E228" s="56"/>
      <c r="F228" s="56"/>
      <c r="G228" s="56"/>
      <c r="H228" s="56"/>
    </row>
    <row r="229">
      <c r="D229" s="56"/>
      <c r="E229" s="56"/>
      <c r="F229" s="56"/>
      <c r="G229" s="56"/>
      <c r="H229" s="56"/>
    </row>
    <row r="230">
      <c r="D230" s="56"/>
      <c r="E230" s="56"/>
      <c r="F230" s="56"/>
      <c r="G230" s="56"/>
      <c r="H230" s="56"/>
    </row>
    <row r="231">
      <c r="D231" s="56"/>
      <c r="E231" s="56"/>
      <c r="F231" s="56"/>
      <c r="G231" s="56"/>
      <c r="H231" s="56"/>
    </row>
    <row r="232">
      <c r="D232" s="56"/>
      <c r="E232" s="56"/>
      <c r="F232" s="56"/>
      <c r="G232" s="56"/>
      <c r="H232" s="56"/>
    </row>
    <row r="233">
      <c r="D233" s="56"/>
      <c r="E233" s="56"/>
      <c r="F233" s="56"/>
      <c r="G233" s="56"/>
      <c r="H233" s="56"/>
    </row>
    <row r="234">
      <c r="D234" s="56"/>
      <c r="E234" s="56"/>
      <c r="F234" s="56"/>
      <c r="G234" s="56"/>
      <c r="H234" s="56"/>
    </row>
    <row r="235">
      <c r="D235" s="56"/>
      <c r="E235" s="56"/>
      <c r="F235" s="56"/>
      <c r="G235" s="56"/>
      <c r="H235" s="56"/>
    </row>
    <row r="236">
      <c r="D236" s="56"/>
      <c r="E236" s="56"/>
      <c r="F236" s="56"/>
      <c r="G236" s="56"/>
      <c r="H236" s="56"/>
    </row>
    <row r="237">
      <c r="D237" s="56"/>
      <c r="E237" s="56"/>
      <c r="F237" s="56"/>
      <c r="G237" s="56"/>
      <c r="H237" s="56"/>
    </row>
    <row r="238">
      <c r="D238" s="56"/>
      <c r="E238" s="56"/>
      <c r="F238" s="56"/>
      <c r="G238" s="56"/>
      <c r="H238" s="56"/>
    </row>
    <row r="239">
      <c r="D239" s="56"/>
      <c r="E239" s="56"/>
      <c r="F239" s="56"/>
      <c r="G239" s="56"/>
      <c r="H239" s="56"/>
    </row>
    <row r="240">
      <c r="D240" s="56"/>
      <c r="E240" s="56"/>
      <c r="F240" s="56"/>
      <c r="G240" s="56"/>
      <c r="H240" s="56"/>
    </row>
    <row r="241">
      <c r="D241" s="56"/>
      <c r="E241" s="56"/>
      <c r="F241" s="56"/>
      <c r="G241" s="56"/>
      <c r="H241" s="56"/>
    </row>
    <row r="242">
      <c r="D242" s="56"/>
      <c r="E242" s="56"/>
      <c r="F242" s="56"/>
      <c r="G242" s="56"/>
      <c r="H242" s="56"/>
    </row>
    <row r="243">
      <c r="D243" s="56"/>
      <c r="E243" s="56"/>
      <c r="F243" s="56"/>
      <c r="G243" s="56"/>
      <c r="H243" s="56"/>
    </row>
    <row r="244">
      <c r="D244" s="56"/>
      <c r="E244" s="56"/>
      <c r="F244" s="56"/>
      <c r="G244" s="56"/>
      <c r="H244" s="56"/>
    </row>
    <row r="245">
      <c r="D245" s="56"/>
      <c r="E245" s="56"/>
      <c r="F245" s="56"/>
      <c r="G245" s="56"/>
      <c r="H245" s="56"/>
    </row>
    <row r="246">
      <c r="D246" s="56"/>
      <c r="E246" s="56"/>
      <c r="F246" s="56"/>
      <c r="G246" s="56"/>
      <c r="H246" s="56"/>
    </row>
    <row r="247">
      <c r="D247" s="56"/>
      <c r="E247" s="56"/>
      <c r="F247" s="56"/>
      <c r="G247" s="56"/>
      <c r="H247" s="56"/>
    </row>
    <row r="248">
      <c r="D248" s="56"/>
      <c r="E248" s="56"/>
      <c r="F248" s="56"/>
      <c r="G248" s="56"/>
      <c r="H248" s="56"/>
    </row>
    <row r="249">
      <c r="D249" s="56"/>
      <c r="E249" s="56"/>
      <c r="F249" s="56"/>
      <c r="G249" s="56"/>
      <c r="H249" s="56"/>
    </row>
    <row r="250">
      <c r="D250" s="56"/>
      <c r="E250" s="56"/>
      <c r="F250" s="56"/>
      <c r="G250" s="56"/>
      <c r="H250" s="56"/>
    </row>
    <row r="251">
      <c r="D251" s="56"/>
      <c r="E251" s="56"/>
      <c r="F251" s="56"/>
      <c r="G251" s="56"/>
      <c r="H251" s="56"/>
    </row>
    <row r="252">
      <c r="D252" s="56"/>
      <c r="E252" s="56"/>
      <c r="F252" s="56"/>
      <c r="G252" s="56"/>
      <c r="H252" s="56"/>
    </row>
    <row r="253">
      <c r="D253" s="56"/>
      <c r="E253" s="56"/>
      <c r="F253" s="56"/>
      <c r="G253" s="56"/>
      <c r="H253" s="56"/>
    </row>
    <row r="254">
      <c r="D254" s="56"/>
      <c r="E254" s="56"/>
      <c r="F254" s="56"/>
      <c r="G254" s="56"/>
      <c r="H254" s="56"/>
    </row>
    <row r="255">
      <c r="D255" s="56"/>
      <c r="E255" s="56"/>
      <c r="F255" s="56"/>
      <c r="G255" s="56"/>
      <c r="H255" s="56"/>
    </row>
    <row r="256">
      <c r="D256" s="56"/>
      <c r="E256" s="56"/>
      <c r="F256" s="56"/>
      <c r="G256" s="56"/>
      <c r="H256" s="56"/>
    </row>
    <row r="257">
      <c r="D257" s="56"/>
      <c r="E257" s="56"/>
      <c r="F257" s="56"/>
      <c r="G257" s="56"/>
      <c r="H257" s="56"/>
    </row>
    <row r="258">
      <c r="D258" s="56"/>
      <c r="E258" s="56"/>
      <c r="F258" s="56"/>
      <c r="G258" s="56"/>
      <c r="H258" s="56"/>
    </row>
    <row r="259">
      <c r="D259" s="56"/>
      <c r="E259" s="56"/>
      <c r="F259" s="56"/>
      <c r="G259" s="56"/>
      <c r="H259" s="56"/>
    </row>
    <row r="260">
      <c r="D260" s="56"/>
      <c r="E260" s="56"/>
      <c r="F260" s="56"/>
      <c r="G260" s="56"/>
      <c r="H260" s="56"/>
    </row>
    <row r="261">
      <c r="D261" s="56"/>
      <c r="E261" s="56"/>
      <c r="F261" s="56"/>
      <c r="G261" s="56"/>
      <c r="H261" s="56"/>
    </row>
    <row r="262">
      <c r="D262" s="56"/>
      <c r="E262" s="56"/>
      <c r="F262" s="56"/>
      <c r="G262" s="56"/>
      <c r="H262" s="56"/>
    </row>
    <row r="263">
      <c r="D263" s="56"/>
      <c r="E263" s="56"/>
      <c r="F263" s="56"/>
      <c r="G263" s="56"/>
      <c r="H263" s="56"/>
    </row>
    <row r="264">
      <c r="D264" s="56"/>
      <c r="E264" s="56"/>
      <c r="F264" s="56"/>
      <c r="G264" s="56"/>
      <c r="H264" s="56"/>
    </row>
    <row r="265">
      <c r="D265" s="56"/>
      <c r="E265" s="56"/>
      <c r="F265" s="56"/>
      <c r="G265" s="56"/>
      <c r="H265" s="56"/>
    </row>
    <row r="266">
      <c r="D266" s="56"/>
      <c r="E266" s="56"/>
      <c r="F266" s="56"/>
      <c r="G266" s="56"/>
      <c r="H266" s="56"/>
    </row>
    <row r="267">
      <c r="D267" s="56"/>
      <c r="E267" s="56"/>
      <c r="F267" s="56"/>
      <c r="G267" s="56"/>
      <c r="H267" s="56"/>
    </row>
    <row r="268">
      <c r="D268" s="56"/>
      <c r="E268" s="56"/>
      <c r="F268" s="56"/>
      <c r="G268" s="56"/>
      <c r="H268" s="56"/>
    </row>
    <row r="269">
      <c r="D269" s="56"/>
      <c r="E269" s="56"/>
      <c r="F269" s="56"/>
      <c r="G269" s="56"/>
      <c r="H269" s="56"/>
    </row>
    <row r="270">
      <c r="D270" s="56"/>
      <c r="E270" s="56"/>
      <c r="F270" s="56"/>
      <c r="G270" s="56"/>
      <c r="H270" s="56"/>
    </row>
    <row r="271">
      <c r="D271" s="56"/>
      <c r="E271" s="56"/>
      <c r="F271" s="56"/>
      <c r="G271" s="56"/>
      <c r="H271" s="56"/>
    </row>
    <row r="272">
      <c r="D272" s="56"/>
      <c r="E272" s="56"/>
      <c r="F272" s="56"/>
      <c r="G272" s="56"/>
      <c r="H272" s="56"/>
    </row>
    <row r="273">
      <c r="D273" s="56"/>
      <c r="E273" s="56"/>
      <c r="F273" s="56"/>
      <c r="G273" s="56"/>
      <c r="H273" s="56"/>
    </row>
    <row r="274">
      <c r="D274" s="56"/>
      <c r="E274" s="56"/>
      <c r="F274" s="56"/>
      <c r="G274" s="56"/>
      <c r="H274" s="56"/>
    </row>
    <row r="275">
      <c r="D275" s="56"/>
      <c r="E275" s="56"/>
      <c r="F275" s="56"/>
      <c r="G275" s="56"/>
      <c r="H275" s="56"/>
    </row>
    <row r="276">
      <c r="D276" s="56"/>
      <c r="E276" s="56"/>
      <c r="F276" s="56"/>
      <c r="G276" s="56"/>
      <c r="H276" s="56"/>
    </row>
    <row r="277">
      <c r="D277" s="56"/>
      <c r="E277" s="56"/>
      <c r="F277" s="56"/>
      <c r="G277" s="56"/>
      <c r="H277" s="56"/>
    </row>
    <row r="278">
      <c r="D278" s="56"/>
      <c r="E278" s="56"/>
      <c r="F278" s="56"/>
      <c r="G278" s="56"/>
      <c r="H278" s="56"/>
    </row>
    <row r="279">
      <c r="D279" s="56"/>
      <c r="E279" s="56"/>
      <c r="F279" s="56"/>
      <c r="G279" s="56"/>
      <c r="H279" s="56"/>
    </row>
    <row r="280">
      <c r="D280" s="56"/>
      <c r="E280" s="56"/>
      <c r="F280" s="56"/>
      <c r="G280" s="56"/>
      <c r="H280" s="56"/>
    </row>
    <row r="281">
      <c r="D281" s="56"/>
      <c r="E281" s="56"/>
      <c r="F281" s="56"/>
      <c r="G281" s="56"/>
      <c r="H281" s="56"/>
    </row>
    <row r="282">
      <c r="D282" s="56"/>
      <c r="E282" s="56"/>
      <c r="F282" s="56"/>
      <c r="G282" s="56"/>
      <c r="H282" s="56"/>
    </row>
    <row r="283">
      <c r="D283" s="56"/>
      <c r="E283" s="56"/>
      <c r="F283" s="56"/>
      <c r="G283" s="56"/>
      <c r="H283" s="56"/>
    </row>
    <row r="284">
      <c r="D284" s="56"/>
      <c r="E284" s="56"/>
      <c r="F284" s="56"/>
      <c r="G284" s="56"/>
      <c r="H284" s="56"/>
    </row>
    <row r="285">
      <c r="D285" s="56"/>
      <c r="E285" s="56"/>
      <c r="F285" s="56"/>
      <c r="G285" s="56"/>
      <c r="H285" s="56"/>
    </row>
    <row r="286">
      <c r="D286" s="56"/>
      <c r="E286" s="56"/>
      <c r="F286" s="56"/>
      <c r="G286" s="56"/>
      <c r="H286" s="56"/>
    </row>
    <row r="287">
      <c r="D287" s="56"/>
      <c r="E287" s="56"/>
      <c r="F287" s="56"/>
      <c r="G287" s="56"/>
      <c r="H287" s="56"/>
    </row>
    <row r="288">
      <c r="D288" s="56"/>
      <c r="E288" s="56"/>
      <c r="F288" s="56"/>
      <c r="G288" s="56"/>
      <c r="H288" s="56"/>
    </row>
    <row r="289">
      <c r="D289" s="56"/>
      <c r="E289" s="56"/>
      <c r="F289" s="56"/>
      <c r="G289" s="56"/>
      <c r="H289" s="56"/>
    </row>
    <row r="290">
      <c r="D290" s="56"/>
      <c r="E290" s="56"/>
      <c r="F290" s="56"/>
      <c r="G290" s="56"/>
      <c r="H290" s="56"/>
    </row>
    <row r="291">
      <c r="D291" s="56"/>
      <c r="E291" s="56"/>
      <c r="F291" s="56"/>
      <c r="G291" s="56"/>
      <c r="H291" s="56"/>
    </row>
    <row r="292">
      <c r="D292" s="56"/>
      <c r="E292" s="56"/>
      <c r="F292" s="56"/>
      <c r="G292" s="56"/>
      <c r="H292" s="56"/>
    </row>
    <row r="293">
      <c r="D293" s="56"/>
      <c r="E293" s="56"/>
      <c r="F293" s="56"/>
      <c r="G293" s="56"/>
      <c r="H293" s="56"/>
    </row>
    <row r="294">
      <c r="D294" s="56"/>
      <c r="E294" s="56"/>
      <c r="F294" s="56"/>
      <c r="G294" s="56"/>
      <c r="H294" s="56"/>
    </row>
    <row r="295">
      <c r="D295" s="56"/>
      <c r="E295" s="56"/>
      <c r="F295" s="56"/>
      <c r="G295" s="56"/>
      <c r="H295" s="56"/>
    </row>
    <row r="296">
      <c r="D296" s="56"/>
      <c r="E296" s="56"/>
      <c r="F296" s="56"/>
      <c r="G296" s="56"/>
      <c r="H296" s="56"/>
    </row>
    <row r="297">
      <c r="D297" s="56"/>
      <c r="E297" s="56"/>
      <c r="F297" s="56"/>
      <c r="G297" s="56"/>
      <c r="H297" s="56"/>
    </row>
    <row r="298">
      <c r="D298" s="56"/>
      <c r="E298" s="56"/>
      <c r="F298" s="56"/>
      <c r="G298" s="56"/>
      <c r="H298" s="56"/>
    </row>
    <row r="299">
      <c r="D299" s="56"/>
      <c r="E299" s="56"/>
      <c r="F299" s="56"/>
      <c r="G299" s="56"/>
      <c r="H299" s="56"/>
    </row>
    <row r="300">
      <c r="D300" s="56"/>
      <c r="E300" s="56"/>
      <c r="F300" s="56"/>
      <c r="G300" s="56"/>
      <c r="H300" s="56"/>
    </row>
    <row r="301">
      <c r="D301" s="56"/>
      <c r="E301" s="56"/>
      <c r="F301" s="56"/>
      <c r="G301" s="56"/>
      <c r="H301" s="56"/>
    </row>
    <row r="302">
      <c r="D302" s="56"/>
      <c r="E302" s="56"/>
      <c r="F302" s="56"/>
      <c r="G302" s="56"/>
      <c r="H302" s="56"/>
    </row>
    <row r="303">
      <c r="D303" s="56"/>
      <c r="E303" s="56"/>
      <c r="F303" s="56"/>
      <c r="G303" s="56"/>
      <c r="H303" s="56"/>
    </row>
    <row r="304">
      <c r="D304" s="56"/>
      <c r="E304" s="56"/>
      <c r="F304" s="56"/>
      <c r="G304" s="56"/>
      <c r="H304" s="56"/>
    </row>
    <row r="305">
      <c r="D305" s="56"/>
      <c r="E305" s="56"/>
      <c r="F305" s="56"/>
      <c r="G305" s="56"/>
      <c r="H305" s="56"/>
    </row>
    <row r="306">
      <c r="D306" s="56"/>
      <c r="E306" s="56"/>
      <c r="F306" s="56"/>
      <c r="G306" s="56"/>
      <c r="H306" s="56"/>
    </row>
    <row r="307">
      <c r="D307" s="56"/>
      <c r="E307" s="56"/>
      <c r="F307" s="56"/>
      <c r="G307" s="56"/>
      <c r="H307" s="56"/>
    </row>
    <row r="308">
      <c r="D308" s="56"/>
      <c r="E308" s="56"/>
      <c r="F308" s="56"/>
      <c r="G308" s="56"/>
      <c r="H308" s="56"/>
    </row>
    <row r="309">
      <c r="D309" s="56"/>
      <c r="E309" s="56"/>
      <c r="F309" s="56"/>
      <c r="G309" s="56"/>
      <c r="H309" s="56"/>
    </row>
    <row r="310">
      <c r="D310" s="56"/>
      <c r="E310" s="56"/>
      <c r="F310" s="56"/>
      <c r="G310" s="56"/>
      <c r="H310" s="56"/>
    </row>
    <row r="311">
      <c r="D311" s="56"/>
      <c r="E311" s="56"/>
      <c r="F311" s="56"/>
      <c r="G311" s="56"/>
      <c r="H311" s="56"/>
    </row>
    <row r="312">
      <c r="D312" s="56"/>
      <c r="E312" s="56"/>
      <c r="F312" s="56"/>
      <c r="G312" s="56"/>
      <c r="H312" s="56"/>
    </row>
    <row r="313">
      <c r="D313" s="56"/>
      <c r="E313" s="56"/>
      <c r="F313" s="56"/>
      <c r="G313" s="56"/>
      <c r="H313" s="56"/>
    </row>
    <row r="314">
      <c r="D314" s="56"/>
      <c r="E314" s="56"/>
      <c r="F314" s="56"/>
      <c r="G314" s="56"/>
      <c r="H314" s="56"/>
    </row>
    <row r="315">
      <c r="D315" s="56"/>
      <c r="E315" s="56"/>
      <c r="F315" s="56"/>
      <c r="G315" s="56"/>
      <c r="H315" s="56"/>
    </row>
    <row r="316">
      <c r="D316" s="56"/>
      <c r="E316" s="56"/>
      <c r="F316" s="56"/>
      <c r="G316" s="56"/>
      <c r="H316" s="56"/>
    </row>
    <row r="317">
      <c r="D317" s="56"/>
      <c r="E317" s="56"/>
      <c r="F317" s="56"/>
      <c r="G317" s="56"/>
      <c r="H317" s="56"/>
    </row>
    <row r="318">
      <c r="D318" s="56"/>
      <c r="E318" s="56"/>
      <c r="F318" s="56"/>
      <c r="G318" s="56"/>
      <c r="H318" s="56"/>
    </row>
    <row r="319">
      <c r="D319" s="56"/>
      <c r="E319" s="56"/>
      <c r="F319" s="56"/>
      <c r="G319" s="56"/>
      <c r="H319" s="56"/>
    </row>
    <row r="320">
      <c r="D320" s="56"/>
      <c r="E320" s="56"/>
      <c r="F320" s="56"/>
      <c r="G320" s="56"/>
      <c r="H320" s="56"/>
    </row>
    <row r="321">
      <c r="D321" s="56"/>
      <c r="E321" s="56"/>
      <c r="F321" s="56"/>
      <c r="G321" s="56"/>
      <c r="H321" s="56"/>
    </row>
    <row r="322">
      <c r="D322" s="56"/>
      <c r="E322" s="56"/>
      <c r="F322" s="56"/>
      <c r="G322" s="56"/>
      <c r="H322" s="56"/>
    </row>
    <row r="323">
      <c r="D323" s="56"/>
      <c r="E323" s="56"/>
      <c r="F323" s="56"/>
      <c r="G323" s="56"/>
      <c r="H323" s="56"/>
    </row>
    <row r="324">
      <c r="D324" s="56"/>
      <c r="E324" s="56"/>
      <c r="F324" s="56"/>
      <c r="G324" s="56"/>
      <c r="H324" s="56"/>
    </row>
    <row r="325">
      <c r="D325" s="56"/>
      <c r="E325" s="56"/>
      <c r="F325" s="56"/>
      <c r="G325" s="56"/>
      <c r="H325" s="56"/>
    </row>
    <row r="326">
      <c r="D326" s="56"/>
      <c r="E326" s="56"/>
      <c r="F326" s="56"/>
      <c r="G326" s="56"/>
      <c r="H326" s="56"/>
    </row>
    <row r="327">
      <c r="D327" s="56"/>
      <c r="E327" s="56"/>
      <c r="F327" s="56"/>
      <c r="G327" s="56"/>
      <c r="H327" s="56"/>
    </row>
    <row r="328">
      <c r="D328" s="56"/>
      <c r="E328" s="56"/>
      <c r="F328" s="56"/>
      <c r="G328" s="56"/>
      <c r="H328" s="56"/>
    </row>
    <row r="329">
      <c r="D329" s="56"/>
      <c r="E329" s="56"/>
      <c r="F329" s="56"/>
      <c r="G329" s="56"/>
      <c r="H329" s="56"/>
    </row>
    <row r="330">
      <c r="D330" s="56"/>
      <c r="E330" s="56"/>
      <c r="F330" s="56"/>
      <c r="G330" s="56"/>
      <c r="H330" s="56"/>
    </row>
    <row r="331">
      <c r="D331" s="56"/>
      <c r="E331" s="56"/>
      <c r="F331" s="56"/>
      <c r="G331" s="56"/>
      <c r="H331" s="56"/>
    </row>
    <row r="332">
      <c r="D332" s="56"/>
      <c r="E332" s="56"/>
      <c r="F332" s="56"/>
      <c r="G332" s="56"/>
      <c r="H332" s="56"/>
    </row>
    <row r="333">
      <c r="D333" s="56"/>
      <c r="E333" s="56"/>
      <c r="F333" s="56"/>
      <c r="G333" s="56"/>
      <c r="H333" s="56"/>
    </row>
    <row r="334">
      <c r="D334" s="56"/>
      <c r="E334" s="56"/>
      <c r="F334" s="56"/>
      <c r="G334" s="56"/>
      <c r="H334" s="56"/>
    </row>
    <row r="335">
      <c r="D335" s="56"/>
      <c r="E335" s="56"/>
      <c r="F335" s="56"/>
      <c r="G335" s="56"/>
      <c r="H335" s="56"/>
    </row>
    <row r="336">
      <c r="D336" s="56"/>
      <c r="E336" s="56"/>
      <c r="F336" s="56"/>
      <c r="G336" s="56"/>
      <c r="H336" s="56"/>
    </row>
    <row r="337">
      <c r="D337" s="56"/>
      <c r="E337" s="56"/>
      <c r="F337" s="56"/>
      <c r="G337" s="56"/>
      <c r="H337" s="56"/>
    </row>
    <row r="338">
      <c r="D338" s="56"/>
      <c r="E338" s="56"/>
      <c r="F338" s="56"/>
      <c r="G338" s="56"/>
      <c r="H338" s="56"/>
    </row>
    <row r="339">
      <c r="D339" s="56"/>
      <c r="E339" s="56"/>
      <c r="F339" s="56"/>
      <c r="G339" s="56"/>
      <c r="H339" s="56"/>
    </row>
    <row r="340">
      <c r="D340" s="56"/>
      <c r="E340" s="56"/>
      <c r="F340" s="56"/>
      <c r="G340" s="56"/>
      <c r="H340" s="56"/>
    </row>
    <row r="341">
      <c r="D341" s="56"/>
      <c r="E341" s="56"/>
      <c r="F341" s="56"/>
      <c r="G341" s="56"/>
      <c r="H341" s="56"/>
    </row>
    <row r="342">
      <c r="D342" s="56"/>
      <c r="E342" s="56"/>
      <c r="F342" s="56"/>
      <c r="G342" s="56"/>
      <c r="H342" s="56"/>
    </row>
    <row r="343">
      <c r="D343" s="56"/>
      <c r="E343" s="56"/>
      <c r="F343" s="56"/>
      <c r="G343" s="56"/>
      <c r="H343" s="56"/>
    </row>
    <row r="344">
      <c r="D344" s="56"/>
      <c r="E344" s="56"/>
      <c r="F344" s="56"/>
      <c r="G344" s="56"/>
      <c r="H344" s="56"/>
    </row>
    <row r="345">
      <c r="D345" s="56"/>
      <c r="E345" s="56"/>
      <c r="F345" s="56"/>
      <c r="G345" s="56"/>
      <c r="H345" s="56"/>
    </row>
    <row r="346">
      <c r="D346" s="56"/>
      <c r="E346" s="56"/>
      <c r="F346" s="56"/>
      <c r="G346" s="56"/>
      <c r="H346" s="56"/>
    </row>
    <row r="347">
      <c r="D347" s="56"/>
      <c r="E347" s="56"/>
      <c r="F347" s="56"/>
      <c r="G347" s="56"/>
      <c r="H347" s="56"/>
    </row>
    <row r="348">
      <c r="D348" s="56"/>
      <c r="E348" s="56"/>
      <c r="F348" s="56"/>
      <c r="G348" s="56"/>
      <c r="H348" s="56"/>
    </row>
    <row r="349">
      <c r="D349" s="56"/>
      <c r="E349" s="56"/>
      <c r="F349" s="56"/>
      <c r="G349" s="56"/>
      <c r="H349" s="56"/>
    </row>
    <row r="350">
      <c r="D350" s="56"/>
      <c r="E350" s="56"/>
      <c r="F350" s="56"/>
      <c r="G350" s="56"/>
      <c r="H350" s="56"/>
    </row>
    <row r="351">
      <c r="D351" s="56"/>
      <c r="E351" s="56"/>
      <c r="F351" s="56"/>
      <c r="G351" s="56"/>
      <c r="H351" s="56"/>
    </row>
    <row r="352">
      <c r="D352" s="56"/>
      <c r="E352" s="56"/>
      <c r="F352" s="56"/>
      <c r="G352" s="56"/>
      <c r="H352" s="56"/>
    </row>
    <row r="353">
      <c r="D353" s="56"/>
      <c r="E353" s="56"/>
      <c r="F353" s="56"/>
      <c r="G353" s="56"/>
      <c r="H353" s="56"/>
    </row>
    <row r="354">
      <c r="D354" s="56"/>
      <c r="E354" s="56"/>
      <c r="F354" s="56"/>
      <c r="G354" s="56"/>
      <c r="H354" s="56"/>
    </row>
    <row r="355">
      <c r="D355" s="56"/>
      <c r="E355" s="56"/>
      <c r="F355" s="56"/>
      <c r="G355" s="56"/>
      <c r="H355" s="56"/>
    </row>
    <row r="356">
      <c r="D356" s="56"/>
      <c r="E356" s="56"/>
      <c r="F356" s="56"/>
      <c r="G356" s="56"/>
      <c r="H356" s="56"/>
    </row>
    <row r="357">
      <c r="D357" s="56"/>
      <c r="E357" s="56"/>
      <c r="F357" s="56"/>
      <c r="G357" s="56"/>
      <c r="H357" s="56"/>
    </row>
    <row r="358">
      <c r="D358" s="56"/>
      <c r="E358" s="56"/>
      <c r="F358" s="56"/>
      <c r="G358" s="56"/>
      <c r="H358" s="56"/>
    </row>
    <row r="359">
      <c r="D359" s="56"/>
      <c r="E359" s="56"/>
      <c r="F359" s="56"/>
      <c r="G359" s="56"/>
      <c r="H359" s="56"/>
    </row>
    <row r="360">
      <c r="D360" s="56"/>
      <c r="E360" s="56"/>
      <c r="F360" s="56"/>
      <c r="G360" s="56"/>
      <c r="H360" s="56"/>
    </row>
    <row r="361">
      <c r="D361" s="56"/>
      <c r="E361" s="56"/>
      <c r="F361" s="56"/>
      <c r="G361" s="56"/>
      <c r="H361" s="56"/>
    </row>
    <row r="362">
      <c r="D362" s="56"/>
      <c r="E362" s="56"/>
      <c r="F362" s="56"/>
      <c r="G362" s="56"/>
      <c r="H362" s="56"/>
    </row>
    <row r="363">
      <c r="D363" s="56"/>
      <c r="E363" s="56"/>
      <c r="F363" s="56"/>
      <c r="G363" s="56"/>
      <c r="H363" s="56"/>
    </row>
    <row r="364">
      <c r="D364" s="56"/>
      <c r="E364" s="56"/>
      <c r="F364" s="56"/>
      <c r="G364" s="56"/>
      <c r="H364" s="56"/>
    </row>
    <row r="365">
      <c r="D365" s="56"/>
      <c r="E365" s="56"/>
      <c r="F365" s="56"/>
      <c r="G365" s="56"/>
      <c r="H365" s="56"/>
    </row>
    <row r="366">
      <c r="D366" s="56"/>
      <c r="E366" s="56"/>
      <c r="F366" s="56"/>
      <c r="G366" s="56"/>
      <c r="H366" s="56"/>
    </row>
    <row r="367">
      <c r="D367" s="56"/>
      <c r="E367" s="56"/>
      <c r="F367" s="56"/>
      <c r="G367" s="56"/>
      <c r="H367" s="56"/>
    </row>
    <row r="368">
      <c r="D368" s="56"/>
      <c r="E368" s="56"/>
      <c r="F368" s="56"/>
      <c r="G368" s="56"/>
      <c r="H368" s="56"/>
    </row>
    <row r="369">
      <c r="D369" s="56"/>
      <c r="E369" s="56"/>
      <c r="F369" s="56"/>
      <c r="G369" s="56"/>
      <c r="H369" s="56"/>
    </row>
    <row r="370">
      <c r="D370" s="56"/>
      <c r="E370" s="56"/>
      <c r="F370" s="56"/>
      <c r="G370" s="56"/>
      <c r="H370" s="56"/>
    </row>
    <row r="371">
      <c r="D371" s="56"/>
      <c r="E371" s="56"/>
      <c r="F371" s="56"/>
      <c r="G371" s="56"/>
      <c r="H371" s="56"/>
    </row>
    <row r="372">
      <c r="D372" s="56"/>
      <c r="E372" s="56"/>
      <c r="F372" s="56"/>
      <c r="G372" s="56"/>
      <c r="H372" s="56"/>
    </row>
    <row r="373">
      <c r="D373" s="56"/>
      <c r="E373" s="56"/>
      <c r="F373" s="56"/>
      <c r="G373" s="56"/>
      <c r="H373" s="56"/>
    </row>
    <row r="374">
      <c r="D374" s="56"/>
      <c r="E374" s="56"/>
      <c r="F374" s="56"/>
      <c r="G374" s="56"/>
      <c r="H374" s="56"/>
    </row>
    <row r="375">
      <c r="D375" s="56"/>
      <c r="E375" s="56"/>
      <c r="F375" s="56"/>
      <c r="G375" s="56"/>
      <c r="H375" s="56"/>
    </row>
    <row r="376">
      <c r="D376" s="56"/>
      <c r="E376" s="56"/>
      <c r="F376" s="56"/>
      <c r="G376" s="56"/>
      <c r="H376" s="56"/>
    </row>
    <row r="377">
      <c r="D377" s="56"/>
      <c r="E377" s="56"/>
      <c r="F377" s="56"/>
      <c r="G377" s="56"/>
      <c r="H377" s="56"/>
    </row>
    <row r="378">
      <c r="D378" s="56"/>
      <c r="E378" s="56"/>
      <c r="F378" s="56"/>
      <c r="G378" s="56"/>
      <c r="H378" s="56"/>
    </row>
    <row r="379">
      <c r="D379" s="56"/>
      <c r="E379" s="56"/>
      <c r="F379" s="56"/>
      <c r="G379" s="56"/>
      <c r="H379" s="56"/>
    </row>
    <row r="380">
      <c r="D380" s="56"/>
      <c r="E380" s="56"/>
      <c r="F380" s="56"/>
      <c r="G380" s="56"/>
      <c r="H380" s="56"/>
    </row>
    <row r="381">
      <c r="D381" s="56"/>
      <c r="E381" s="56"/>
      <c r="F381" s="56"/>
      <c r="G381" s="56"/>
      <c r="H381" s="56"/>
    </row>
    <row r="382">
      <c r="D382" s="56"/>
      <c r="E382" s="56"/>
      <c r="F382" s="56"/>
      <c r="G382" s="56"/>
      <c r="H382" s="56"/>
    </row>
    <row r="383">
      <c r="D383" s="56"/>
      <c r="E383" s="56"/>
      <c r="F383" s="56"/>
      <c r="G383" s="56"/>
      <c r="H383" s="56"/>
    </row>
    <row r="384">
      <c r="D384" s="56"/>
      <c r="E384" s="56"/>
      <c r="F384" s="56"/>
      <c r="G384" s="56"/>
      <c r="H384" s="56"/>
    </row>
    <row r="385">
      <c r="D385" s="56"/>
      <c r="E385" s="56"/>
      <c r="F385" s="56"/>
      <c r="G385" s="56"/>
      <c r="H385" s="56"/>
    </row>
    <row r="386">
      <c r="D386" s="56"/>
      <c r="E386" s="56"/>
      <c r="F386" s="56"/>
      <c r="G386" s="56"/>
      <c r="H386" s="56"/>
    </row>
    <row r="387">
      <c r="D387" s="56"/>
      <c r="E387" s="56"/>
      <c r="F387" s="56"/>
      <c r="G387" s="56"/>
      <c r="H387" s="56"/>
    </row>
    <row r="388">
      <c r="D388" s="56"/>
      <c r="E388" s="56"/>
      <c r="F388" s="56"/>
      <c r="G388" s="56"/>
      <c r="H388" s="56"/>
    </row>
    <row r="389">
      <c r="D389" s="56"/>
      <c r="E389" s="56"/>
      <c r="F389" s="56"/>
      <c r="G389" s="56"/>
      <c r="H389" s="56"/>
    </row>
    <row r="390">
      <c r="D390" s="56"/>
      <c r="E390" s="56"/>
      <c r="F390" s="56"/>
      <c r="G390" s="56"/>
      <c r="H390" s="56"/>
    </row>
    <row r="391">
      <c r="D391" s="56"/>
      <c r="E391" s="56"/>
      <c r="F391" s="56"/>
      <c r="G391" s="56"/>
      <c r="H391" s="56"/>
    </row>
    <row r="392">
      <c r="D392" s="56"/>
      <c r="E392" s="56"/>
      <c r="F392" s="56"/>
      <c r="G392" s="56"/>
      <c r="H392" s="56"/>
    </row>
    <row r="393">
      <c r="D393" s="56"/>
      <c r="E393" s="56"/>
      <c r="F393" s="56"/>
      <c r="G393" s="56"/>
      <c r="H393" s="56"/>
    </row>
    <row r="394">
      <c r="D394" s="56"/>
      <c r="E394" s="56"/>
      <c r="F394" s="56"/>
      <c r="G394" s="56"/>
      <c r="H394" s="56"/>
    </row>
    <row r="395">
      <c r="D395" s="56"/>
      <c r="E395" s="56"/>
      <c r="F395" s="56"/>
      <c r="G395" s="56"/>
      <c r="H395" s="56"/>
    </row>
    <row r="396">
      <c r="D396" s="56"/>
      <c r="E396" s="56"/>
      <c r="F396" s="56"/>
      <c r="G396" s="56"/>
      <c r="H396" s="56"/>
    </row>
    <row r="397">
      <c r="D397" s="56"/>
      <c r="E397" s="56"/>
      <c r="F397" s="56"/>
      <c r="G397" s="56"/>
      <c r="H397" s="56"/>
    </row>
    <row r="398">
      <c r="D398" s="56"/>
      <c r="E398" s="56"/>
      <c r="F398" s="56"/>
      <c r="G398" s="56"/>
      <c r="H398" s="56"/>
    </row>
    <row r="399">
      <c r="D399" s="56"/>
      <c r="E399" s="56"/>
      <c r="F399" s="56"/>
      <c r="G399" s="56"/>
      <c r="H399" s="56"/>
    </row>
    <row r="400">
      <c r="D400" s="56"/>
      <c r="E400" s="56"/>
      <c r="F400" s="56"/>
      <c r="G400" s="56"/>
      <c r="H400" s="56"/>
    </row>
    <row r="401">
      <c r="D401" s="56"/>
      <c r="E401" s="56"/>
      <c r="F401" s="56"/>
      <c r="G401" s="56"/>
      <c r="H401" s="56"/>
    </row>
    <row r="402">
      <c r="D402" s="56"/>
      <c r="E402" s="56"/>
      <c r="F402" s="56"/>
      <c r="G402" s="56"/>
      <c r="H402" s="56"/>
    </row>
    <row r="403">
      <c r="D403" s="56"/>
      <c r="E403" s="56"/>
      <c r="F403" s="56"/>
      <c r="G403" s="56"/>
      <c r="H403" s="56"/>
    </row>
    <row r="404">
      <c r="D404" s="56"/>
      <c r="E404" s="56"/>
      <c r="F404" s="56"/>
      <c r="G404" s="56"/>
      <c r="H404" s="56"/>
    </row>
    <row r="405">
      <c r="D405" s="56"/>
      <c r="E405" s="56"/>
      <c r="F405" s="56"/>
      <c r="G405" s="56"/>
      <c r="H405" s="56"/>
    </row>
    <row r="406">
      <c r="D406" s="56"/>
      <c r="E406" s="56"/>
      <c r="F406" s="56"/>
      <c r="G406" s="56"/>
      <c r="H406" s="56"/>
    </row>
    <row r="407">
      <c r="D407" s="56"/>
      <c r="E407" s="56"/>
      <c r="F407" s="56"/>
      <c r="G407" s="56"/>
      <c r="H407" s="56"/>
    </row>
    <row r="408">
      <c r="D408" s="56"/>
      <c r="E408" s="56"/>
      <c r="F408" s="56"/>
      <c r="G408" s="56"/>
      <c r="H408" s="56"/>
    </row>
    <row r="409">
      <c r="D409" s="56"/>
      <c r="E409" s="56"/>
      <c r="F409" s="56"/>
      <c r="G409" s="56"/>
      <c r="H409" s="56"/>
    </row>
    <row r="410">
      <c r="D410" s="56"/>
      <c r="E410" s="56"/>
      <c r="F410" s="56"/>
      <c r="G410" s="56"/>
      <c r="H410" s="56"/>
    </row>
    <row r="411">
      <c r="D411" s="56"/>
      <c r="E411" s="56"/>
      <c r="F411" s="56"/>
      <c r="G411" s="56"/>
      <c r="H411" s="56"/>
    </row>
    <row r="412">
      <c r="D412" s="56"/>
      <c r="E412" s="56"/>
      <c r="F412" s="56"/>
      <c r="G412" s="56"/>
      <c r="H412" s="56"/>
    </row>
    <row r="413">
      <c r="D413" s="56"/>
      <c r="E413" s="56"/>
      <c r="F413" s="56"/>
      <c r="G413" s="56"/>
      <c r="H413" s="56"/>
    </row>
    <row r="414">
      <c r="D414" s="56"/>
      <c r="E414" s="56"/>
      <c r="F414" s="56"/>
      <c r="G414" s="56"/>
      <c r="H414" s="56"/>
    </row>
    <row r="415">
      <c r="D415" s="56"/>
      <c r="E415" s="56"/>
      <c r="F415" s="56"/>
      <c r="G415" s="56"/>
      <c r="H415" s="56"/>
    </row>
    <row r="416">
      <c r="D416" s="56"/>
      <c r="E416" s="56"/>
      <c r="F416" s="56"/>
      <c r="G416" s="56"/>
      <c r="H416" s="56"/>
    </row>
    <row r="417">
      <c r="D417" s="56"/>
      <c r="E417" s="56"/>
      <c r="F417" s="56"/>
      <c r="G417" s="56"/>
      <c r="H417" s="56"/>
    </row>
    <row r="418">
      <c r="D418" s="56"/>
      <c r="E418" s="56"/>
      <c r="F418" s="56"/>
      <c r="G418" s="56"/>
      <c r="H418" s="56"/>
    </row>
    <row r="419">
      <c r="D419" s="56"/>
      <c r="E419" s="56"/>
      <c r="F419" s="56"/>
      <c r="G419" s="56"/>
      <c r="H419" s="56"/>
    </row>
    <row r="420">
      <c r="D420" s="56"/>
      <c r="E420" s="56"/>
      <c r="F420" s="56"/>
      <c r="G420" s="56"/>
      <c r="H420" s="56"/>
    </row>
    <row r="421">
      <c r="D421" s="56"/>
      <c r="E421" s="56"/>
      <c r="F421" s="56"/>
      <c r="G421" s="56"/>
      <c r="H421" s="56"/>
    </row>
    <row r="422">
      <c r="D422" s="56"/>
      <c r="E422" s="56"/>
      <c r="F422" s="56"/>
      <c r="G422" s="56"/>
      <c r="H422" s="56"/>
    </row>
    <row r="423">
      <c r="D423" s="56"/>
      <c r="E423" s="56"/>
      <c r="F423" s="56"/>
      <c r="G423" s="56"/>
      <c r="H423" s="56"/>
    </row>
    <row r="424">
      <c r="D424" s="56"/>
      <c r="E424" s="56"/>
      <c r="F424" s="56"/>
      <c r="G424" s="56"/>
      <c r="H424" s="56"/>
    </row>
    <row r="425">
      <c r="D425" s="56"/>
      <c r="E425" s="56"/>
      <c r="F425" s="56"/>
      <c r="G425" s="56"/>
      <c r="H425" s="56"/>
    </row>
    <row r="426">
      <c r="D426" s="56"/>
      <c r="E426" s="56"/>
      <c r="F426" s="56"/>
      <c r="G426" s="56"/>
      <c r="H426" s="56"/>
    </row>
    <row r="427">
      <c r="D427" s="56"/>
      <c r="E427" s="56"/>
      <c r="F427" s="56"/>
      <c r="G427" s="56"/>
      <c r="H427" s="56"/>
    </row>
    <row r="428">
      <c r="D428" s="56"/>
      <c r="E428" s="56"/>
      <c r="F428" s="56"/>
      <c r="G428" s="56"/>
      <c r="H428" s="56"/>
    </row>
    <row r="429">
      <c r="D429" s="56"/>
      <c r="E429" s="56"/>
      <c r="F429" s="56"/>
      <c r="G429" s="56"/>
      <c r="H429" s="56"/>
    </row>
    <row r="430">
      <c r="D430" s="56"/>
      <c r="E430" s="56"/>
      <c r="F430" s="56"/>
      <c r="G430" s="56"/>
      <c r="H430" s="56"/>
    </row>
    <row r="431">
      <c r="D431" s="56"/>
      <c r="E431" s="56"/>
      <c r="F431" s="56"/>
      <c r="G431" s="56"/>
      <c r="H431" s="56"/>
    </row>
    <row r="432">
      <c r="D432" s="56"/>
      <c r="E432" s="56"/>
      <c r="F432" s="56"/>
      <c r="G432" s="56"/>
      <c r="H432" s="56"/>
    </row>
    <row r="433">
      <c r="D433" s="56"/>
      <c r="E433" s="56"/>
      <c r="F433" s="56"/>
      <c r="G433" s="56"/>
      <c r="H433" s="56"/>
    </row>
    <row r="434">
      <c r="D434" s="56"/>
      <c r="E434" s="56"/>
      <c r="F434" s="56"/>
      <c r="G434" s="56"/>
      <c r="H434" s="56"/>
    </row>
    <row r="435">
      <c r="D435" s="56"/>
      <c r="E435" s="56"/>
      <c r="F435" s="56"/>
      <c r="G435" s="56"/>
      <c r="H435" s="56"/>
    </row>
    <row r="436">
      <c r="D436" s="56"/>
      <c r="E436" s="56"/>
      <c r="F436" s="56"/>
      <c r="G436" s="56"/>
      <c r="H436" s="56"/>
    </row>
    <row r="437">
      <c r="D437" s="56"/>
      <c r="E437" s="56"/>
      <c r="F437" s="56"/>
      <c r="G437" s="56"/>
      <c r="H437" s="56"/>
    </row>
    <row r="438">
      <c r="D438" s="56"/>
      <c r="E438" s="56"/>
      <c r="F438" s="56"/>
      <c r="G438" s="56"/>
      <c r="H438" s="56"/>
    </row>
    <row r="439">
      <c r="D439" s="56"/>
      <c r="E439" s="56"/>
      <c r="F439" s="56"/>
      <c r="G439" s="56"/>
      <c r="H439" s="56"/>
    </row>
    <row r="440">
      <c r="D440" s="56"/>
      <c r="E440" s="56"/>
      <c r="F440" s="56"/>
      <c r="G440" s="56"/>
      <c r="H440" s="56"/>
    </row>
    <row r="441">
      <c r="D441" s="56"/>
      <c r="E441" s="56"/>
      <c r="F441" s="56"/>
      <c r="G441" s="56"/>
      <c r="H441" s="56"/>
    </row>
    <row r="442">
      <c r="D442" s="56"/>
      <c r="E442" s="56"/>
      <c r="F442" s="56"/>
      <c r="G442" s="56"/>
      <c r="H442" s="56"/>
    </row>
    <row r="443">
      <c r="D443" s="56"/>
      <c r="E443" s="56"/>
      <c r="F443" s="56"/>
      <c r="G443" s="56"/>
      <c r="H443" s="56"/>
    </row>
    <row r="444">
      <c r="D444" s="56"/>
      <c r="E444" s="56"/>
      <c r="F444" s="56"/>
      <c r="G444" s="56"/>
      <c r="H444" s="56"/>
    </row>
    <row r="445">
      <c r="D445" s="56"/>
      <c r="E445" s="56"/>
      <c r="F445" s="56"/>
      <c r="G445" s="56"/>
      <c r="H445" s="56"/>
    </row>
    <row r="446">
      <c r="D446" s="56"/>
      <c r="E446" s="56"/>
      <c r="F446" s="56"/>
      <c r="G446" s="56"/>
      <c r="H446" s="56"/>
    </row>
    <row r="447">
      <c r="D447" s="56"/>
      <c r="E447" s="56"/>
      <c r="F447" s="56"/>
      <c r="G447" s="56"/>
      <c r="H447" s="56"/>
    </row>
    <row r="448">
      <c r="D448" s="56"/>
      <c r="E448" s="56"/>
      <c r="F448" s="56"/>
      <c r="G448" s="56"/>
      <c r="H448" s="56"/>
    </row>
    <row r="449">
      <c r="D449" s="56"/>
      <c r="E449" s="56"/>
      <c r="F449" s="56"/>
      <c r="G449" s="56"/>
      <c r="H449" s="56"/>
    </row>
    <row r="450">
      <c r="D450" s="56"/>
      <c r="E450" s="56"/>
      <c r="F450" s="56"/>
      <c r="G450" s="56"/>
      <c r="H450" s="56"/>
    </row>
    <row r="451">
      <c r="D451" s="56"/>
      <c r="E451" s="56"/>
      <c r="F451" s="56"/>
      <c r="G451" s="56"/>
      <c r="H451" s="56"/>
    </row>
    <row r="452">
      <c r="D452" s="56"/>
      <c r="E452" s="56"/>
      <c r="F452" s="56"/>
      <c r="G452" s="56"/>
      <c r="H452" s="56"/>
    </row>
    <row r="453">
      <c r="D453" s="56"/>
      <c r="E453" s="56"/>
      <c r="F453" s="56"/>
      <c r="G453" s="56"/>
      <c r="H453" s="56"/>
    </row>
    <row r="454">
      <c r="D454" s="56"/>
      <c r="E454" s="56"/>
      <c r="F454" s="56"/>
      <c r="G454" s="56"/>
      <c r="H454" s="56"/>
    </row>
    <row r="455">
      <c r="D455" s="56"/>
      <c r="E455" s="56"/>
      <c r="F455" s="56"/>
      <c r="G455" s="56"/>
      <c r="H455" s="56"/>
    </row>
    <row r="456">
      <c r="D456" s="56"/>
      <c r="E456" s="56"/>
      <c r="F456" s="56"/>
      <c r="G456" s="56"/>
      <c r="H456" s="56"/>
    </row>
    <row r="457">
      <c r="D457" s="56"/>
      <c r="E457" s="56"/>
      <c r="F457" s="56"/>
      <c r="G457" s="56"/>
      <c r="H457" s="56"/>
    </row>
    <row r="458">
      <c r="D458" s="56"/>
      <c r="E458" s="56"/>
      <c r="F458" s="56"/>
      <c r="G458" s="56"/>
      <c r="H458" s="56"/>
    </row>
    <row r="459">
      <c r="D459" s="56"/>
      <c r="E459" s="56"/>
      <c r="F459" s="56"/>
      <c r="G459" s="56"/>
      <c r="H459" s="56"/>
    </row>
    <row r="460">
      <c r="D460" s="56"/>
      <c r="E460" s="56"/>
      <c r="F460" s="56"/>
      <c r="G460" s="56"/>
      <c r="H460" s="56"/>
    </row>
    <row r="461">
      <c r="D461" s="56"/>
      <c r="E461" s="56"/>
      <c r="F461" s="56"/>
      <c r="G461" s="56"/>
      <c r="H461" s="56"/>
    </row>
    <row r="462">
      <c r="D462" s="56"/>
      <c r="E462" s="56"/>
      <c r="F462" s="56"/>
      <c r="G462" s="56"/>
      <c r="H462" s="56"/>
    </row>
    <row r="463">
      <c r="D463" s="56"/>
      <c r="E463" s="56"/>
      <c r="F463" s="56"/>
      <c r="G463" s="56"/>
      <c r="H463" s="56"/>
    </row>
    <row r="464">
      <c r="D464" s="56"/>
      <c r="E464" s="56"/>
      <c r="F464" s="56"/>
      <c r="G464" s="56"/>
      <c r="H464" s="56"/>
    </row>
    <row r="465">
      <c r="D465" s="56"/>
      <c r="E465" s="56"/>
      <c r="F465" s="56"/>
      <c r="G465" s="56"/>
      <c r="H465" s="56"/>
    </row>
    <row r="466">
      <c r="D466" s="56"/>
      <c r="E466" s="56"/>
      <c r="F466" s="56"/>
      <c r="G466" s="56"/>
      <c r="H466" s="56"/>
    </row>
    <row r="467">
      <c r="D467" s="56"/>
      <c r="E467" s="56"/>
      <c r="F467" s="56"/>
      <c r="G467" s="56"/>
      <c r="H467" s="56"/>
    </row>
    <row r="468">
      <c r="D468" s="56"/>
      <c r="E468" s="56"/>
      <c r="F468" s="56"/>
      <c r="G468" s="56"/>
      <c r="H468" s="56"/>
    </row>
    <row r="469">
      <c r="D469" s="56"/>
      <c r="E469" s="56"/>
      <c r="F469" s="56"/>
      <c r="G469" s="56"/>
      <c r="H469" s="56"/>
    </row>
    <row r="470">
      <c r="D470" s="56"/>
      <c r="E470" s="56"/>
      <c r="F470" s="56"/>
      <c r="G470" s="56"/>
      <c r="H470" s="56"/>
    </row>
    <row r="471">
      <c r="D471" s="56"/>
      <c r="E471" s="56"/>
      <c r="F471" s="56"/>
      <c r="G471" s="56"/>
      <c r="H471" s="56"/>
    </row>
    <row r="472">
      <c r="D472" s="56"/>
      <c r="E472" s="56"/>
      <c r="F472" s="56"/>
      <c r="G472" s="56"/>
      <c r="H472" s="56"/>
    </row>
    <row r="473">
      <c r="D473" s="56"/>
      <c r="E473" s="56"/>
      <c r="F473" s="56"/>
      <c r="G473" s="56"/>
      <c r="H473" s="56"/>
    </row>
    <row r="474">
      <c r="D474" s="56"/>
      <c r="E474" s="56"/>
      <c r="F474" s="56"/>
      <c r="G474" s="56"/>
      <c r="H474" s="56"/>
    </row>
    <row r="475">
      <c r="D475" s="56"/>
      <c r="E475" s="56"/>
      <c r="F475" s="56"/>
      <c r="G475" s="56"/>
      <c r="H475" s="56"/>
    </row>
    <row r="476">
      <c r="D476" s="56"/>
      <c r="E476" s="56"/>
      <c r="F476" s="56"/>
      <c r="G476" s="56"/>
      <c r="H476" s="56"/>
    </row>
    <row r="477">
      <c r="D477" s="56"/>
      <c r="E477" s="56"/>
      <c r="F477" s="56"/>
      <c r="G477" s="56"/>
      <c r="H477" s="56"/>
    </row>
    <row r="478">
      <c r="D478" s="56"/>
      <c r="E478" s="56"/>
      <c r="F478" s="56"/>
      <c r="G478" s="56"/>
      <c r="H478" s="56"/>
    </row>
    <row r="479">
      <c r="D479" s="56"/>
      <c r="E479" s="56"/>
      <c r="F479" s="56"/>
      <c r="G479" s="56"/>
      <c r="H479" s="56"/>
    </row>
    <row r="480">
      <c r="D480" s="56"/>
      <c r="E480" s="56"/>
      <c r="F480" s="56"/>
      <c r="G480" s="56"/>
      <c r="H480" s="56"/>
    </row>
    <row r="481">
      <c r="D481" s="56"/>
      <c r="E481" s="56"/>
      <c r="F481" s="56"/>
      <c r="G481" s="56"/>
      <c r="H481" s="56"/>
    </row>
    <row r="482">
      <c r="D482" s="56"/>
      <c r="E482" s="56"/>
      <c r="F482" s="56"/>
      <c r="G482" s="56"/>
      <c r="H482" s="56"/>
    </row>
    <row r="483">
      <c r="D483" s="56"/>
      <c r="E483" s="56"/>
      <c r="F483" s="56"/>
      <c r="G483" s="56"/>
      <c r="H483" s="56"/>
    </row>
    <row r="484">
      <c r="D484" s="56"/>
      <c r="E484" s="56"/>
      <c r="F484" s="56"/>
      <c r="G484" s="56"/>
      <c r="H484" s="56"/>
    </row>
    <row r="485">
      <c r="D485" s="56"/>
      <c r="E485" s="56"/>
      <c r="F485" s="56"/>
      <c r="G485" s="56"/>
      <c r="H485" s="56"/>
    </row>
    <row r="486">
      <c r="D486" s="56"/>
      <c r="E486" s="56"/>
      <c r="F486" s="56"/>
      <c r="G486" s="56"/>
      <c r="H486" s="56"/>
    </row>
    <row r="487">
      <c r="D487" s="56"/>
      <c r="E487" s="56"/>
      <c r="F487" s="56"/>
      <c r="G487" s="56"/>
      <c r="H487" s="56"/>
    </row>
    <row r="488">
      <c r="D488" s="56"/>
      <c r="E488" s="56"/>
      <c r="F488" s="56"/>
      <c r="G488" s="56"/>
      <c r="H488" s="56"/>
    </row>
    <row r="489">
      <c r="D489" s="56"/>
      <c r="E489" s="56"/>
      <c r="F489" s="56"/>
      <c r="G489" s="56"/>
      <c r="H489" s="56"/>
    </row>
    <row r="490">
      <c r="D490" s="56"/>
      <c r="E490" s="56"/>
      <c r="F490" s="56"/>
      <c r="G490" s="56"/>
      <c r="H490" s="56"/>
    </row>
    <row r="491">
      <c r="D491" s="56"/>
      <c r="E491" s="56"/>
      <c r="F491" s="56"/>
      <c r="G491" s="56"/>
      <c r="H491" s="56"/>
    </row>
    <row r="492">
      <c r="D492" s="56"/>
      <c r="E492" s="56"/>
      <c r="F492" s="56"/>
      <c r="G492" s="56"/>
      <c r="H492" s="56"/>
    </row>
    <row r="493">
      <c r="D493" s="56"/>
      <c r="E493" s="56"/>
      <c r="F493" s="56"/>
      <c r="G493" s="56"/>
      <c r="H493" s="56"/>
    </row>
    <row r="494">
      <c r="D494" s="56"/>
      <c r="E494" s="56"/>
      <c r="F494" s="56"/>
      <c r="G494" s="56"/>
      <c r="H494" s="56"/>
    </row>
    <row r="495">
      <c r="D495" s="56"/>
      <c r="E495" s="56"/>
      <c r="F495" s="56"/>
      <c r="G495" s="56"/>
      <c r="H495" s="56"/>
    </row>
    <row r="496">
      <c r="D496" s="56"/>
      <c r="E496" s="56"/>
      <c r="F496" s="56"/>
      <c r="G496" s="56"/>
      <c r="H496" s="56"/>
    </row>
    <row r="497">
      <c r="D497" s="56"/>
      <c r="E497" s="56"/>
      <c r="F497" s="56"/>
      <c r="G497" s="56"/>
      <c r="H497" s="56"/>
    </row>
    <row r="498">
      <c r="D498" s="56"/>
      <c r="E498" s="56"/>
      <c r="F498" s="56"/>
      <c r="G498" s="56"/>
      <c r="H498" s="56"/>
    </row>
    <row r="499">
      <c r="D499" s="56"/>
      <c r="E499" s="56"/>
      <c r="F499" s="56"/>
      <c r="G499" s="56"/>
      <c r="H499" s="56"/>
    </row>
    <row r="500">
      <c r="D500" s="56"/>
      <c r="E500" s="56"/>
      <c r="F500" s="56"/>
      <c r="G500" s="56"/>
      <c r="H500" s="56"/>
    </row>
    <row r="501">
      <c r="D501" s="56"/>
      <c r="E501" s="56"/>
      <c r="F501" s="56"/>
      <c r="G501" s="56"/>
      <c r="H501" s="56"/>
    </row>
    <row r="502">
      <c r="D502" s="56"/>
      <c r="E502" s="56"/>
      <c r="F502" s="56"/>
      <c r="G502" s="56"/>
      <c r="H502" s="56"/>
    </row>
    <row r="503">
      <c r="D503" s="56"/>
      <c r="E503" s="56"/>
      <c r="F503" s="56"/>
      <c r="G503" s="56"/>
      <c r="H503" s="56"/>
    </row>
    <row r="504">
      <c r="D504" s="56"/>
      <c r="E504" s="56"/>
      <c r="F504" s="56"/>
      <c r="G504" s="56"/>
      <c r="H504" s="56"/>
    </row>
    <row r="505">
      <c r="D505" s="56"/>
      <c r="E505" s="56"/>
      <c r="F505" s="56"/>
      <c r="G505" s="56"/>
      <c r="H505" s="56"/>
    </row>
    <row r="506">
      <c r="D506" s="56"/>
      <c r="E506" s="56"/>
      <c r="F506" s="56"/>
      <c r="G506" s="56"/>
      <c r="H506" s="56"/>
    </row>
    <row r="507">
      <c r="D507" s="56"/>
      <c r="E507" s="56"/>
      <c r="F507" s="56"/>
      <c r="G507" s="56"/>
      <c r="H507" s="56"/>
    </row>
    <row r="508">
      <c r="D508" s="56"/>
      <c r="E508" s="56"/>
      <c r="F508" s="56"/>
      <c r="G508" s="56"/>
      <c r="H508" s="56"/>
    </row>
    <row r="509">
      <c r="D509" s="56"/>
      <c r="E509" s="56"/>
      <c r="F509" s="56"/>
      <c r="G509" s="56"/>
      <c r="H509" s="56"/>
    </row>
    <row r="510">
      <c r="D510" s="56"/>
      <c r="E510" s="56"/>
      <c r="F510" s="56"/>
      <c r="G510" s="56"/>
      <c r="H510" s="56"/>
    </row>
    <row r="511">
      <c r="D511" s="56"/>
      <c r="E511" s="56"/>
      <c r="F511" s="56"/>
      <c r="G511" s="56"/>
      <c r="H511" s="56"/>
    </row>
    <row r="512">
      <c r="D512" s="56"/>
      <c r="E512" s="56"/>
      <c r="F512" s="56"/>
      <c r="G512" s="56"/>
      <c r="H512" s="56"/>
    </row>
    <row r="513">
      <c r="D513" s="56"/>
      <c r="E513" s="56"/>
      <c r="F513" s="56"/>
      <c r="G513" s="56"/>
      <c r="H513" s="56"/>
    </row>
    <row r="514">
      <c r="D514" s="56"/>
      <c r="E514" s="56"/>
      <c r="F514" s="56"/>
      <c r="G514" s="56"/>
      <c r="H514" s="56"/>
    </row>
    <row r="515">
      <c r="D515" s="56"/>
      <c r="E515" s="56"/>
      <c r="F515" s="56"/>
      <c r="G515" s="56"/>
      <c r="H515" s="56"/>
    </row>
    <row r="516">
      <c r="D516" s="56"/>
      <c r="E516" s="56"/>
      <c r="F516" s="56"/>
      <c r="G516" s="56"/>
      <c r="H516" s="56"/>
    </row>
    <row r="517">
      <c r="D517" s="56"/>
      <c r="E517" s="56"/>
      <c r="F517" s="56"/>
      <c r="G517" s="56"/>
      <c r="H517" s="56"/>
    </row>
    <row r="518">
      <c r="D518" s="56"/>
      <c r="E518" s="56"/>
      <c r="F518" s="56"/>
      <c r="G518" s="56"/>
      <c r="H518" s="56"/>
    </row>
    <row r="519">
      <c r="D519" s="56"/>
      <c r="E519" s="56"/>
      <c r="F519" s="56"/>
      <c r="G519" s="56"/>
      <c r="H519" s="56"/>
    </row>
    <row r="520">
      <c r="D520" s="56"/>
      <c r="E520" s="56"/>
      <c r="F520" s="56"/>
      <c r="G520" s="56"/>
      <c r="H520" s="56"/>
    </row>
    <row r="521">
      <c r="D521" s="56"/>
      <c r="E521" s="56"/>
      <c r="F521" s="56"/>
      <c r="G521" s="56"/>
      <c r="H521" s="56"/>
    </row>
    <row r="522">
      <c r="D522" s="56"/>
      <c r="E522" s="56"/>
      <c r="F522" s="56"/>
      <c r="G522" s="56"/>
      <c r="H522" s="56"/>
    </row>
    <row r="523">
      <c r="D523" s="56"/>
      <c r="E523" s="56"/>
      <c r="F523" s="56"/>
      <c r="G523" s="56"/>
      <c r="H523" s="56"/>
    </row>
    <row r="524">
      <c r="D524" s="56"/>
      <c r="E524" s="56"/>
      <c r="F524" s="56"/>
      <c r="G524" s="56"/>
      <c r="H524" s="56"/>
    </row>
    <row r="525">
      <c r="D525" s="56"/>
      <c r="E525" s="56"/>
      <c r="F525" s="56"/>
      <c r="G525" s="56"/>
      <c r="H525" s="56"/>
    </row>
    <row r="526">
      <c r="D526" s="56"/>
      <c r="E526" s="56"/>
      <c r="F526" s="56"/>
      <c r="G526" s="56"/>
      <c r="H526" s="56"/>
    </row>
    <row r="527">
      <c r="D527" s="56"/>
      <c r="E527" s="56"/>
      <c r="F527" s="56"/>
      <c r="G527" s="56"/>
      <c r="H527" s="56"/>
    </row>
    <row r="528">
      <c r="D528" s="56"/>
      <c r="E528" s="56"/>
      <c r="F528" s="56"/>
      <c r="G528" s="56"/>
      <c r="H528" s="56"/>
    </row>
    <row r="529">
      <c r="D529" s="56"/>
      <c r="E529" s="56"/>
      <c r="F529" s="56"/>
      <c r="G529" s="56"/>
      <c r="H529" s="56"/>
    </row>
    <row r="530">
      <c r="D530" s="56"/>
      <c r="E530" s="56"/>
      <c r="F530" s="56"/>
      <c r="G530" s="56"/>
      <c r="H530" s="56"/>
    </row>
    <row r="531">
      <c r="D531" s="56"/>
      <c r="E531" s="56"/>
      <c r="F531" s="56"/>
      <c r="G531" s="56"/>
      <c r="H531" s="56"/>
    </row>
    <row r="532">
      <c r="D532" s="56"/>
      <c r="E532" s="56"/>
      <c r="F532" s="56"/>
      <c r="G532" s="56"/>
      <c r="H532" s="56"/>
    </row>
    <row r="533">
      <c r="D533" s="56"/>
      <c r="E533" s="56"/>
      <c r="F533" s="56"/>
      <c r="G533" s="56"/>
      <c r="H533" s="56"/>
    </row>
    <row r="534">
      <c r="D534" s="56"/>
      <c r="E534" s="56"/>
      <c r="F534" s="56"/>
      <c r="G534" s="56"/>
      <c r="H534" s="56"/>
    </row>
    <row r="535">
      <c r="D535" s="56"/>
      <c r="E535" s="56"/>
      <c r="F535" s="56"/>
      <c r="G535" s="56"/>
      <c r="H535" s="56"/>
    </row>
    <row r="536">
      <c r="D536" s="56"/>
      <c r="E536" s="56"/>
      <c r="F536" s="56"/>
      <c r="G536" s="56"/>
      <c r="H536" s="56"/>
    </row>
    <row r="537">
      <c r="D537" s="56"/>
      <c r="E537" s="56"/>
      <c r="F537" s="56"/>
      <c r="G537" s="56"/>
      <c r="H537" s="56"/>
    </row>
    <row r="538">
      <c r="D538" s="56"/>
      <c r="E538" s="56"/>
      <c r="F538" s="56"/>
      <c r="G538" s="56"/>
      <c r="H538" s="56"/>
    </row>
    <row r="539">
      <c r="D539" s="56"/>
      <c r="E539" s="56"/>
      <c r="F539" s="56"/>
      <c r="G539" s="56"/>
      <c r="H539" s="56"/>
    </row>
    <row r="540">
      <c r="D540" s="56"/>
      <c r="E540" s="56"/>
      <c r="F540" s="56"/>
      <c r="G540" s="56"/>
      <c r="H540" s="56"/>
    </row>
    <row r="541">
      <c r="D541" s="56"/>
      <c r="E541" s="56"/>
      <c r="F541" s="56"/>
      <c r="G541" s="56"/>
      <c r="H541" s="56"/>
    </row>
    <row r="542">
      <c r="D542" s="56"/>
      <c r="E542" s="56"/>
      <c r="F542" s="56"/>
      <c r="G542" s="56"/>
      <c r="H542" s="56"/>
    </row>
    <row r="543">
      <c r="D543" s="56"/>
      <c r="E543" s="56"/>
      <c r="F543" s="56"/>
      <c r="G543" s="56"/>
      <c r="H543" s="56"/>
    </row>
    <row r="544">
      <c r="D544" s="56"/>
      <c r="E544" s="56"/>
      <c r="F544" s="56"/>
      <c r="G544" s="56"/>
      <c r="H544" s="56"/>
    </row>
    <row r="545">
      <c r="D545" s="56"/>
      <c r="E545" s="56"/>
      <c r="F545" s="56"/>
      <c r="G545" s="56"/>
      <c r="H545" s="56"/>
    </row>
    <row r="546">
      <c r="D546" s="56"/>
      <c r="E546" s="56"/>
      <c r="F546" s="56"/>
      <c r="G546" s="56"/>
      <c r="H546" s="56"/>
    </row>
    <row r="547">
      <c r="D547" s="56"/>
      <c r="E547" s="56"/>
      <c r="F547" s="56"/>
      <c r="G547" s="56"/>
      <c r="H547" s="56"/>
    </row>
    <row r="548">
      <c r="D548" s="56"/>
      <c r="E548" s="56"/>
      <c r="F548" s="56"/>
      <c r="G548" s="56"/>
      <c r="H548" s="56"/>
    </row>
    <row r="549">
      <c r="D549" s="56"/>
      <c r="E549" s="56"/>
      <c r="F549" s="56"/>
      <c r="G549" s="56"/>
      <c r="H549" s="56"/>
    </row>
    <row r="550">
      <c r="D550" s="56"/>
      <c r="E550" s="56"/>
      <c r="F550" s="56"/>
      <c r="G550" s="56"/>
      <c r="H550" s="56"/>
    </row>
    <row r="551">
      <c r="D551" s="56"/>
      <c r="E551" s="56"/>
      <c r="F551" s="56"/>
      <c r="G551" s="56"/>
      <c r="H551" s="56"/>
    </row>
    <row r="552">
      <c r="D552" s="56"/>
      <c r="E552" s="56"/>
      <c r="F552" s="56"/>
      <c r="G552" s="56"/>
      <c r="H552" s="56"/>
    </row>
    <row r="553">
      <c r="D553" s="56"/>
      <c r="E553" s="56"/>
      <c r="F553" s="56"/>
      <c r="G553" s="56"/>
      <c r="H553" s="56"/>
    </row>
    <row r="554">
      <c r="D554" s="56"/>
      <c r="E554" s="56"/>
      <c r="F554" s="56"/>
      <c r="G554" s="56"/>
      <c r="H554" s="56"/>
    </row>
    <row r="555">
      <c r="D555" s="56"/>
      <c r="E555" s="56"/>
      <c r="F555" s="56"/>
      <c r="G555" s="56"/>
      <c r="H555" s="56"/>
    </row>
    <row r="556">
      <c r="D556" s="56"/>
      <c r="E556" s="56"/>
      <c r="F556" s="56"/>
      <c r="G556" s="56"/>
      <c r="H556" s="56"/>
    </row>
    <row r="557">
      <c r="D557" s="56"/>
      <c r="E557" s="56"/>
      <c r="F557" s="56"/>
      <c r="G557" s="56"/>
      <c r="H557" s="56"/>
    </row>
    <row r="558">
      <c r="D558" s="56"/>
      <c r="E558" s="56"/>
      <c r="F558" s="56"/>
      <c r="G558" s="56"/>
      <c r="H558" s="56"/>
    </row>
    <row r="559">
      <c r="D559" s="56"/>
      <c r="E559" s="56"/>
      <c r="F559" s="56"/>
      <c r="G559" s="56"/>
      <c r="H559" s="56"/>
    </row>
    <row r="560">
      <c r="D560" s="56"/>
      <c r="E560" s="56"/>
      <c r="F560" s="56"/>
      <c r="G560" s="56"/>
      <c r="H560" s="56"/>
    </row>
    <row r="561">
      <c r="D561" s="56"/>
      <c r="E561" s="56"/>
      <c r="F561" s="56"/>
      <c r="G561" s="56"/>
      <c r="H561" s="56"/>
    </row>
    <row r="562">
      <c r="D562" s="56"/>
      <c r="E562" s="56"/>
      <c r="F562" s="56"/>
      <c r="G562" s="56"/>
      <c r="H562" s="56"/>
    </row>
    <row r="563">
      <c r="D563" s="56"/>
      <c r="E563" s="56"/>
      <c r="F563" s="56"/>
      <c r="G563" s="56"/>
      <c r="H563" s="56"/>
    </row>
    <row r="564">
      <c r="D564" s="56"/>
      <c r="E564" s="56"/>
      <c r="F564" s="56"/>
      <c r="G564" s="56"/>
      <c r="H564" s="56"/>
    </row>
    <row r="565">
      <c r="D565" s="56"/>
      <c r="E565" s="56"/>
      <c r="F565" s="56"/>
      <c r="G565" s="56"/>
      <c r="H565" s="56"/>
    </row>
    <row r="566">
      <c r="D566" s="56"/>
      <c r="E566" s="56"/>
      <c r="F566" s="56"/>
      <c r="G566" s="56"/>
      <c r="H566" s="56"/>
    </row>
    <row r="567">
      <c r="D567" s="56"/>
      <c r="E567" s="56"/>
      <c r="F567" s="56"/>
      <c r="G567" s="56"/>
      <c r="H567" s="56"/>
    </row>
    <row r="568">
      <c r="D568" s="56"/>
      <c r="E568" s="56"/>
      <c r="F568" s="56"/>
      <c r="G568" s="56"/>
      <c r="H568" s="56"/>
    </row>
    <row r="569">
      <c r="D569" s="56"/>
      <c r="E569" s="56"/>
      <c r="F569" s="56"/>
      <c r="G569" s="56"/>
      <c r="H569" s="56"/>
    </row>
    <row r="570">
      <c r="D570" s="56"/>
      <c r="E570" s="56"/>
      <c r="F570" s="56"/>
      <c r="G570" s="56"/>
      <c r="H570" s="56"/>
    </row>
    <row r="571">
      <c r="D571" s="56"/>
      <c r="E571" s="56"/>
      <c r="F571" s="56"/>
      <c r="G571" s="56"/>
      <c r="H571" s="56"/>
    </row>
    <row r="572">
      <c r="D572" s="56"/>
      <c r="E572" s="56"/>
      <c r="F572" s="56"/>
      <c r="G572" s="56"/>
      <c r="H572" s="56"/>
    </row>
    <row r="573">
      <c r="D573" s="56"/>
      <c r="E573" s="56"/>
      <c r="F573" s="56"/>
      <c r="G573" s="56"/>
      <c r="H573" s="56"/>
    </row>
    <row r="574">
      <c r="D574" s="56"/>
      <c r="E574" s="56"/>
      <c r="F574" s="56"/>
      <c r="G574" s="56"/>
      <c r="H574" s="56"/>
    </row>
    <row r="575">
      <c r="D575" s="56"/>
      <c r="E575" s="56"/>
      <c r="F575" s="56"/>
      <c r="G575" s="56"/>
      <c r="H575" s="56"/>
    </row>
    <row r="576">
      <c r="D576" s="56"/>
      <c r="E576" s="56"/>
      <c r="F576" s="56"/>
      <c r="G576" s="56"/>
      <c r="H576" s="56"/>
    </row>
    <row r="577">
      <c r="D577" s="56"/>
      <c r="E577" s="56"/>
      <c r="F577" s="56"/>
      <c r="G577" s="56"/>
      <c r="H577" s="56"/>
    </row>
    <row r="578">
      <c r="D578" s="56"/>
      <c r="E578" s="56"/>
      <c r="F578" s="56"/>
      <c r="G578" s="56"/>
      <c r="H578" s="56"/>
    </row>
    <row r="579">
      <c r="D579" s="56"/>
      <c r="E579" s="56"/>
      <c r="F579" s="56"/>
      <c r="G579" s="56"/>
      <c r="H579" s="56"/>
    </row>
    <row r="580">
      <c r="D580" s="56"/>
      <c r="E580" s="56"/>
      <c r="F580" s="56"/>
      <c r="G580" s="56"/>
      <c r="H580" s="56"/>
    </row>
    <row r="581">
      <c r="D581" s="56"/>
      <c r="E581" s="56"/>
      <c r="F581" s="56"/>
      <c r="G581" s="56"/>
      <c r="H581" s="56"/>
    </row>
    <row r="582">
      <c r="D582" s="56"/>
      <c r="E582" s="56"/>
      <c r="F582" s="56"/>
      <c r="G582" s="56"/>
      <c r="H582" s="56"/>
    </row>
    <row r="583">
      <c r="D583" s="56"/>
      <c r="E583" s="56"/>
      <c r="F583" s="56"/>
      <c r="G583" s="56"/>
      <c r="H583" s="56"/>
    </row>
    <row r="584">
      <c r="D584" s="56"/>
      <c r="E584" s="56"/>
      <c r="F584" s="56"/>
      <c r="G584" s="56"/>
      <c r="H584" s="56"/>
    </row>
    <row r="585">
      <c r="D585" s="56"/>
      <c r="E585" s="56"/>
      <c r="F585" s="56"/>
      <c r="G585" s="56"/>
      <c r="H585" s="56"/>
    </row>
    <row r="586">
      <c r="D586" s="56"/>
      <c r="E586" s="56"/>
      <c r="F586" s="56"/>
      <c r="G586" s="56"/>
      <c r="H586" s="56"/>
    </row>
    <row r="587">
      <c r="D587" s="56"/>
      <c r="E587" s="56"/>
      <c r="F587" s="56"/>
      <c r="G587" s="56"/>
      <c r="H587" s="56"/>
    </row>
    <row r="588">
      <c r="D588" s="56"/>
      <c r="E588" s="56"/>
      <c r="F588" s="56"/>
      <c r="G588" s="56"/>
      <c r="H588" s="56"/>
    </row>
    <row r="589">
      <c r="D589" s="56"/>
      <c r="E589" s="56"/>
      <c r="F589" s="56"/>
      <c r="G589" s="56"/>
      <c r="H589" s="56"/>
    </row>
    <row r="590">
      <c r="D590" s="56"/>
      <c r="E590" s="56"/>
      <c r="F590" s="56"/>
      <c r="G590" s="56"/>
      <c r="H590" s="56"/>
    </row>
    <row r="591">
      <c r="D591" s="56"/>
      <c r="E591" s="56"/>
      <c r="F591" s="56"/>
      <c r="G591" s="56"/>
      <c r="H591" s="56"/>
    </row>
    <row r="592">
      <c r="D592" s="56"/>
      <c r="E592" s="56"/>
      <c r="F592" s="56"/>
      <c r="G592" s="56"/>
      <c r="H592" s="56"/>
    </row>
    <row r="593">
      <c r="D593" s="56"/>
      <c r="E593" s="56"/>
      <c r="F593" s="56"/>
      <c r="G593" s="56"/>
      <c r="H593" s="56"/>
    </row>
    <row r="594">
      <c r="D594" s="56"/>
      <c r="E594" s="56"/>
      <c r="F594" s="56"/>
      <c r="G594" s="56"/>
      <c r="H594" s="56"/>
    </row>
    <row r="595">
      <c r="D595" s="56"/>
      <c r="E595" s="56"/>
      <c r="F595" s="56"/>
      <c r="G595" s="56"/>
      <c r="H595" s="56"/>
    </row>
    <row r="596">
      <c r="D596" s="56"/>
      <c r="E596" s="56"/>
      <c r="F596" s="56"/>
      <c r="G596" s="56"/>
      <c r="H596" s="56"/>
    </row>
    <row r="597">
      <c r="D597" s="56"/>
      <c r="E597" s="56"/>
      <c r="F597" s="56"/>
      <c r="G597" s="56"/>
      <c r="H597" s="56"/>
    </row>
    <row r="598">
      <c r="D598" s="56"/>
      <c r="E598" s="56"/>
      <c r="F598" s="56"/>
      <c r="G598" s="56"/>
      <c r="H598" s="56"/>
    </row>
    <row r="599">
      <c r="D599" s="56"/>
      <c r="E599" s="56"/>
      <c r="F599" s="56"/>
      <c r="G599" s="56"/>
      <c r="H599" s="56"/>
    </row>
    <row r="600">
      <c r="D600" s="56"/>
      <c r="E600" s="56"/>
      <c r="F600" s="56"/>
      <c r="G600" s="56"/>
      <c r="H600" s="56"/>
    </row>
    <row r="601">
      <c r="D601" s="56"/>
      <c r="E601" s="56"/>
      <c r="F601" s="56"/>
      <c r="G601" s="56"/>
      <c r="H601" s="56"/>
    </row>
    <row r="602">
      <c r="D602" s="56"/>
      <c r="E602" s="56"/>
      <c r="F602" s="56"/>
      <c r="G602" s="56"/>
      <c r="H602" s="56"/>
    </row>
    <row r="603">
      <c r="D603" s="56"/>
      <c r="E603" s="56"/>
      <c r="F603" s="56"/>
      <c r="G603" s="56"/>
      <c r="H603" s="56"/>
    </row>
    <row r="604">
      <c r="D604" s="56"/>
      <c r="E604" s="56"/>
      <c r="F604" s="56"/>
      <c r="G604" s="56"/>
      <c r="H604" s="56"/>
    </row>
    <row r="605">
      <c r="D605" s="56"/>
      <c r="E605" s="56"/>
      <c r="F605" s="56"/>
      <c r="G605" s="56"/>
      <c r="H605" s="56"/>
    </row>
    <row r="606">
      <c r="D606" s="56"/>
      <c r="E606" s="56"/>
      <c r="F606" s="56"/>
      <c r="G606" s="56"/>
      <c r="H606" s="56"/>
    </row>
    <row r="607">
      <c r="D607" s="56"/>
      <c r="E607" s="56"/>
      <c r="F607" s="56"/>
      <c r="G607" s="56"/>
      <c r="H607" s="56"/>
    </row>
    <row r="608">
      <c r="D608" s="56"/>
      <c r="E608" s="56"/>
      <c r="F608" s="56"/>
      <c r="G608" s="56"/>
      <c r="H608" s="56"/>
    </row>
    <row r="609">
      <c r="D609" s="56"/>
      <c r="E609" s="56"/>
      <c r="F609" s="56"/>
      <c r="G609" s="56"/>
      <c r="H609" s="56"/>
    </row>
    <row r="610">
      <c r="D610" s="56"/>
      <c r="E610" s="56"/>
      <c r="F610" s="56"/>
      <c r="G610" s="56"/>
      <c r="H610" s="56"/>
    </row>
    <row r="611">
      <c r="D611" s="56"/>
      <c r="E611" s="56"/>
      <c r="F611" s="56"/>
      <c r="G611" s="56"/>
      <c r="H611" s="56"/>
    </row>
    <row r="612">
      <c r="D612" s="56"/>
      <c r="E612" s="56"/>
      <c r="F612" s="56"/>
      <c r="G612" s="56"/>
      <c r="H612" s="56"/>
    </row>
    <row r="613">
      <c r="D613" s="56"/>
      <c r="E613" s="56"/>
      <c r="F613" s="56"/>
      <c r="G613" s="56"/>
      <c r="H613" s="56"/>
    </row>
    <row r="614">
      <c r="D614" s="56"/>
      <c r="E614" s="56"/>
      <c r="F614" s="56"/>
      <c r="G614" s="56"/>
      <c r="H614" s="56"/>
    </row>
    <row r="615">
      <c r="D615" s="56"/>
      <c r="E615" s="56"/>
      <c r="F615" s="56"/>
      <c r="G615" s="56"/>
      <c r="H615" s="56"/>
    </row>
    <row r="616">
      <c r="D616" s="56"/>
      <c r="E616" s="56"/>
      <c r="F616" s="56"/>
      <c r="G616" s="56"/>
      <c r="H616" s="56"/>
    </row>
    <row r="617">
      <c r="D617" s="56"/>
      <c r="E617" s="56"/>
      <c r="F617" s="56"/>
      <c r="G617" s="56"/>
      <c r="H617" s="56"/>
    </row>
    <row r="618">
      <c r="D618" s="56"/>
      <c r="E618" s="56"/>
      <c r="F618" s="56"/>
      <c r="G618" s="56"/>
      <c r="H618" s="56"/>
    </row>
    <row r="619">
      <c r="D619" s="56"/>
      <c r="E619" s="56"/>
      <c r="F619" s="56"/>
      <c r="G619" s="56"/>
      <c r="H619" s="56"/>
    </row>
    <row r="620">
      <c r="D620" s="56"/>
      <c r="E620" s="56"/>
      <c r="F620" s="56"/>
      <c r="G620" s="56"/>
      <c r="H620" s="56"/>
    </row>
    <row r="621">
      <c r="D621" s="56"/>
      <c r="E621" s="56"/>
      <c r="F621" s="56"/>
      <c r="G621" s="56"/>
      <c r="H621" s="56"/>
    </row>
    <row r="622">
      <c r="D622" s="56"/>
      <c r="E622" s="56"/>
      <c r="F622" s="56"/>
      <c r="G622" s="56"/>
      <c r="H622" s="56"/>
    </row>
    <row r="623">
      <c r="D623" s="56"/>
      <c r="E623" s="56"/>
      <c r="F623" s="56"/>
      <c r="G623" s="56"/>
      <c r="H623" s="56"/>
    </row>
    <row r="624">
      <c r="D624" s="56"/>
      <c r="E624" s="56"/>
      <c r="F624" s="56"/>
      <c r="G624" s="56"/>
      <c r="H624" s="56"/>
    </row>
    <row r="625">
      <c r="D625" s="56"/>
      <c r="E625" s="56"/>
      <c r="F625" s="56"/>
      <c r="G625" s="56"/>
      <c r="H625" s="56"/>
    </row>
    <row r="626">
      <c r="D626" s="56"/>
      <c r="E626" s="56"/>
      <c r="F626" s="56"/>
      <c r="G626" s="56"/>
      <c r="H626" s="56"/>
    </row>
    <row r="627">
      <c r="D627" s="56"/>
      <c r="E627" s="56"/>
      <c r="F627" s="56"/>
      <c r="G627" s="56"/>
      <c r="H627" s="56"/>
    </row>
    <row r="628">
      <c r="D628" s="56"/>
      <c r="E628" s="56"/>
      <c r="F628" s="56"/>
      <c r="G628" s="56"/>
      <c r="H628" s="56"/>
    </row>
    <row r="629">
      <c r="D629" s="56"/>
      <c r="E629" s="56"/>
      <c r="F629" s="56"/>
      <c r="G629" s="56"/>
      <c r="H629" s="56"/>
    </row>
    <row r="630">
      <c r="D630" s="56"/>
      <c r="E630" s="56"/>
      <c r="F630" s="56"/>
      <c r="G630" s="56"/>
      <c r="H630" s="56"/>
    </row>
    <row r="631">
      <c r="D631" s="56"/>
      <c r="E631" s="56"/>
      <c r="F631" s="56"/>
      <c r="G631" s="56"/>
      <c r="H631" s="56"/>
    </row>
    <row r="632">
      <c r="D632" s="56"/>
      <c r="E632" s="56"/>
      <c r="F632" s="56"/>
      <c r="G632" s="56"/>
      <c r="H632" s="56"/>
    </row>
    <row r="633">
      <c r="D633" s="56"/>
      <c r="E633" s="56"/>
      <c r="F633" s="56"/>
      <c r="G633" s="56"/>
      <c r="H633" s="56"/>
    </row>
    <row r="634">
      <c r="D634" s="56"/>
      <c r="E634" s="56"/>
      <c r="F634" s="56"/>
      <c r="G634" s="56"/>
      <c r="H634" s="56"/>
    </row>
    <row r="635">
      <c r="D635" s="56"/>
      <c r="E635" s="56"/>
      <c r="F635" s="56"/>
      <c r="G635" s="56"/>
      <c r="H635" s="56"/>
    </row>
    <row r="636">
      <c r="D636" s="56"/>
      <c r="E636" s="56"/>
      <c r="F636" s="56"/>
      <c r="G636" s="56"/>
      <c r="H636" s="56"/>
    </row>
    <row r="637">
      <c r="D637" s="56"/>
      <c r="E637" s="56"/>
      <c r="F637" s="56"/>
      <c r="G637" s="56"/>
      <c r="H637" s="56"/>
    </row>
    <row r="638">
      <c r="D638" s="56"/>
      <c r="E638" s="56"/>
      <c r="F638" s="56"/>
      <c r="G638" s="56"/>
      <c r="H638" s="56"/>
    </row>
    <row r="639">
      <c r="D639" s="56"/>
      <c r="E639" s="56"/>
      <c r="F639" s="56"/>
      <c r="G639" s="56"/>
      <c r="H639" s="56"/>
    </row>
    <row r="640">
      <c r="D640" s="56"/>
      <c r="E640" s="56"/>
      <c r="F640" s="56"/>
      <c r="G640" s="56"/>
      <c r="H640" s="56"/>
    </row>
    <row r="641">
      <c r="D641" s="56"/>
      <c r="E641" s="56"/>
      <c r="F641" s="56"/>
      <c r="G641" s="56"/>
      <c r="H641" s="56"/>
    </row>
    <row r="642">
      <c r="D642" s="56"/>
      <c r="E642" s="56"/>
      <c r="F642" s="56"/>
      <c r="G642" s="56"/>
      <c r="H642" s="56"/>
    </row>
    <row r="643">
      <c r="D643" s="56"/>
      <c r="E643" s="56"/>
      <c r="F643" s="56"/>
      <c r="G643" s="56"/>
      <c r="H643" s="56"/>
    </row>
    <row r="644">
      <c r="D644" s="56"/>
      <c r="E644" s="56"/>
      <c r="F644" s="56"/>
      <c r="G644" s="56"/>
      <c r="H644" s="56"/>
    </row>
    <row r="645">
      <c r="D645" s="56"/>
      <c r="E645" s="56"/>
      <c r="F645" s="56"/>
      <c r="G645" s="56"/>
      <c r="H645" s="56"/>
    </row>
    <row r="646">
      <c r="D646" s="56"/>
      <c r="E646" s="56"/>
      <c r="F646" s="56"/>
      <c r="G646" s="56"/>
      <c r="H646" s="56"/>
    </row>
    <row r="647">
      <c r="D647" s="56"/>
      <c r="E647" s="56"/>
      <c r="F647" s="56"/>
      <c r="G647" s="56"/>
      <c r="H647" s="56"/>
    </row>
    <row r="648">
      <c r="D648" s="56"/>
      <c r="E648" s="56"/>
      <c r="F648" s="56"/>
      <c r="G648" s="56"/>
      <c r="H648" s="56"/>
    </row>
    <row r="649">
      <c r="D649" s="56"/>
      <c r="E649" s="56"/>
      <c r="F649" s="56"/>
      <c r="G649" s="56"/>
      <c r="H649" s="56"/>
    </row>
    <row r="650">
      <c r="D650" s="56"/>
      <c r="E650" s="56"/>
      <c r="F650" s="56"/>
      <c r="G650" s="56"/>
      <c r="H650" s="56"/>
    </row>
    <row r="651">
      <c r="D651" s="56"/>
      <c r="E651" s="56"/>
      <c r="F651" s="56"/>
      <c r="G651" s="56"/>
      <c r="H651" s="56"/>
    </row>
    <row r="652">
      <c r="D652" s="56"/>
      <c r="E652" s="56"/>
      <c r="F652" s="56"/>
      <c r="G652" s="56"/>
      <c r="H652" s="56"/>
    </row>
    <row r="653">
      <c r="D653" s="56"/>
      <c r="E653" s="56"/>
      <c r="F653" s="56"/>
      <c r="G653" s="56"/>
      <c r="H653" s="56"/>
    </row>
    <row r="654">
      <c r="D654" s="56"/>
      <c r="E654" s="56"/>
      <c r="F654" s="56"/>
      <c r="G654" s="56"/>
      <c r="H654" s="56"/>
    </row>
    <row r="655">
      <c r="D655" s="56"/>
      <c r="E655" s="56"/>
      <c r="F655" s="56"/>
      <c r="G655" s="56"/>
      <c r="H655" s="56"/>
    </row>
    <row r="656">
      <c r="D656" s="56"/>
      <c r="E656" s="56"/>
      <c r="F656" s="56"/>
      <c r="G656" s="56"/>
      <c r="H656" s="56"/>
    </row>
    <row r="657">
      <c r="D657" s="56"/>
      <c r="E657" s="56"/>
      <c r="F657" s="56"/>
      <c r="G657" s="56"/>
      <c r="H657" s="56"/>
    </row>
    <row r="658">
      <c r="D658" s="56"/>
      <c r="E658" s="56"/>
      <c r="F658" s="56"/>
      <c r="G658" s="56"/>
      <c r="H658" s="56"/>
    </row>
    <row r="659">
      <c r="D659" s="56"/>
      <c r="E659" s="56"/>
      <c r="F659" s="56"/>
      <c r="G659" s="56"/>
      <c r="H659" s="56"/>
    </row>
    <row r="660">
      <c r="D660" s="56"/>
      <c r="E660" s="56"/>
      <c r="F660" s="56"/>
      <c r="G660" s="56"/>
      <c r="H660" s="56"/>
    </row>
    <row r="661">
      <c r="D661" s="56"/>
      <c r="E661" s="56"/>
      <c r="F661" s="56"/>
      <c r="G661" s="56"/>
      <c r="H661" s="56"/>
    </row>
    <row r="662">
      <c r="D662" s="56"/>
      <c r="E662" s="56"/>
      <c r="F662" s="56"/>
      <c r="G662" s="56"/>
      <c r="H662" s="56"/>
    </row>
    <row r="663">
      <c r="D663" s="56"/>
      <c r="E663" s="56"/>
      <c r="F663" s="56"/>
      <c r="G663" s="56"/>
      <c r="H663" s="56"/>
    </row>
    <row r="664">
      <c r="D664" s="56"/>
      <c r="E664" s="56"/>
      <c r="F664" s="56"/>
      <c r="G664" s="56"/>
      <c r="H664" s="56"/>
    </row>
    <row r="665">
      <c r="D665" s="56"/>
      <c r="E665" s="56"/>
      <c r="F665" s="56"/>
      <c r="G665" s="56"/>
      <c r="H665" s="56"/>
    </row>
    <row r="666">
      <c r="D666" s="56"/>
      <c r="E666" s="56"/>
      <c r="F666" s="56"/>
      <c r="G666" s="56"/>
      <c r="H666" s="56"/>
    </row>
    <row r="667">
      <c r="D667" s="56"/>
      <c r="E667" s="56"/>
      <c r="F667" s="56"/>
      <c r="G667" s="56"/>
      <c r="H667" s="56"/>
    </row>
    <row r="668">
      <c r="D668" s="56"/>
      <c r="E668" s="56"/>
      <c r="F668" s="56"/>
      <c r="G668" s="56"/>
      <c r="H668" s="56"/>
    </row>
    <row r="669">
      <c r="D669" s="56"/>
      <c r="E669" s="56"/>
      <c r="F669" s="56"/>
      <c r="G669" s="56"/>
      <c r="H669" s="56"/>
    </row>
    <row r="670">
      <c r="D670" s="56"/>
      <c r="E670" s="56"/>
      <c r="F670" s="56"/>
      <c r="G670" s="56"/>
      <c r="H670" s="56"/>
    </row>
    <row r="671">
      <c r="D671" s="56"/>
      <c r="E671" s="56"/>
      <c r="F671" s="56"/>
      <c r="G671" s="56"/>
      <c r="H671" s="56"/>
    </row>
    <row r="672">
      <c r="D672" s="56"/>
      <c r="E672" s="56"/>
      <c r="F672" s="56"/>
      <c r="G672" s="56"/>
      <c r="H672" s="56"/>
    </row>
    <row r="673">
      <c r="D673" s="56"/>
      <c r="E673" s="56"/>
      <c r="F673" s="56"/>
      <c r="G673" s="56"/>
      <c r="H673" s="56"/>
    </row>
    <row r="674">
      <c r="D674" s="56"/>
      <c r="E674" s="56"/>
      <c r="F674" s="56"/>
      <c r="G674" s="56"/>
      <c r="H674" s="56"/>
    </row>
    <row r="675">
      <c r="D675" s="56"/>
      <c r="E675" s="56"/>
      <c r="F675" s="56"/>
      <c r="G675" s="56"/>
      <c r="H675" s="56"/>
    </row>
    <row r="676">
      <c r="D676" s="56"/>
      <c r="E676" s="56"/>
      <c r="F676" s="56"/>
      <c r="G676" s="56"/>
      <c r="H676" s="56"/>
    </row>
    <row r="677">
      <c r="D677" s="56"/>
      <c r="E677" s="56"/>
      <c r="F677" s="56"/>
      <c r="G677" s="56"/>
      <c r="H677" s="56"/>
    </row>
    <row r="678">
      <c r="D678" s="56"/>
      <c r="E678" s="56"/>
      <c r="F678" s="56"/>
      <c r="G678" s="56"/>
      <c r="H678" s="56"/>
    </row>
    <row r="679">
      <c r="D679" s="56"/>
      <c r="E679" s="56"/>
      <c r="F679" s="56"/>
      <c r="G679" s="56"/>
      <c r="H679" s="56"/>
    </row>
    <row r="680">
      <c r="D680" s="56"/>
      <c r="E680" s="56"/>
      <c r="F680" s="56"/>
      <c r="G680" s="56"/>
      <c r="H680" s="56"/>
    </row>
    <row r="681">
      <c r="D681" s="56"/>
      <c r="E681" s="56"/>
      <c r="F681" s="56"/>
      <c r="G681" s="56"/>
      <c r="H681" s="56"/>
    </row>
    <row r="682">
      <c r="D682" s="56"/>
      <c r="E682" s="56"/>
      <c r="F682" s="56"/>
      <c r="G682" s="56"/>
      <c r="H682" s="56"/>
    </row>
    <row r="683">
      <c r="D683" s="56"/>
      <c r="E683" s="56"/>
      <c r="F683" s="56"/>
      <c r="G683" s="56"/>
      <c r="H683" s="56"/>
    </row>
    <row r="684">
      <c r="D684" s="56"/>
      <c r="E684" s="56"/>
      <c r="F684" s="56"/>
      <c r="G684" s="56"/>
      <c r="H684" s="56"/>
    </row>
    <row r="685">
      <c r="D685" s="56"/>
      <c r="E685" s="56"/>
      <c r="F685" s="56"/>
      <c r="G685" s="56"/>
      <c r="H685" s="56"/>
    </row>
    <row r="686">
      <c r="D686" s="56"/>
      <c r="E686" s="56"/>
      <c r="F686" s="56"/>
      <c r="G686" s="56"/>
      <c r="H686" s="56"/>
    </row>
    <row r="687">
      <c r="D687" s="56"/>
      <c r="E687" s="56"/>
      <c r="F687" s="56"/>
      <c r="G687" s="56"/>
      <c r="H687" s="56"/>
    </row>
    <row r="688">
      <c r="D688" s="56"/>
      <c r="E688" s="56"/>
      <c r="F688" s="56"/>
      <c r="G688" s="56"/>
      <c r="H688" s="56"/>
    </row>
    <row r="689">
      <c r="D689" s="56"/>
      <c r="E689" s="56"/>
      <c r="F689" s="56"/>
      <c r="G689" s="56"/>
      <c r="H689" s="56"/>
    </row>
    <row r="690">
      <c r="D690" s="56"/>
      <c r="E690" s="56"/>
      <c r="F690" s="56"/>
      <c r="G690" s="56"/>
      <c r="H690" s="56"/>
    </row>
    <row r="691">
      <c r="D691" s="56"/>
      <c r="E691" s="56"/>
      <c r="F691" s="56"/>
      <c r="G691" s="56"/>
      <c r="H691" s="56"/>
    </row>
    <row r="692">
      <c r="D692" s="56"/>
      <c r="E692" s="56"/>
      <c r="F692" s="56"/>
      <c r="G692" s="56"/>
      <c r="H692" s="56"/>
    </row>
    <row r="693">
      <c r="D693" s="56"/>
      <c r="E693" s="56"/>
      <c r="F693" s="56"/>
      <c r="G693" s="56"/>
      <c r="H693" s="56"/>
    </row>
    <row r="694">
      <c r="D694" s="56"/>
      <c r="E694" s="56"/>
      <c r="F694" s="56"/>
      <c r="G694" s="56"/>
      <c r="H694" s="56"/>
    </row>
    <row r="695">
      <c r="D695" s="56"/>
      <c r="E695" s="56"/>
      <c r="F695" s="56"/>
      <c r="G695" s="56"/>
      <c r="H695" s="56"/>
    </row>
    <row r="696">
      <c r="D696" s="56"/>
      <c r="E696" s="56"/>
      <c r="F696" s="56"/>
      <c r="G696" s="56"/>
      <c r="H696" s="56"/>
    </row>
    <row r="697">
      <c r="D697" s="56"/>
      <c r="E697" s="56"/>
      <c r="F697" s="56"/>
      <c r="G697" s="56"/>
      <c r="H697" s="56"/>
    </row>
    <row r="698">
      <c r="D698" s="56"/>
      <c r="E698" s="56"/>
      <c r="F698" s="56"/>
      <c r="G698" s="56"/>
      <c r="H698" s="56"/>
    </row>
    <row r="699">
      <c r="D699" s="56"/>
      <c r="E699" s="56"/>
      <c r="F699" s="56"/>
      <c r="G699" s="56"/>
      <c r="H699" s="56"/>
    </row>
    <row r="700">
      <c r="D700" s="56"/>
      <c r="E700" s="56"/>
      <c r="F700" s="56"/>
      <c r="G700" s="56"/>
      <c r="H700" s="56"/>
    </row>
    <row r="701">
      <c r="D701" s="56"/>
      <c r="E701" s="56"/>
      <c r="F701" s="56"/>
      <c r="G701" s="56"/>
      <c r="H701" s="56"/>
    </row>
    <row r="702">
      <c r="D702" s="56"/>
      <c r="E702" s="56"/>
      <c r="F702" s="56"/>
      <c r="G702" s="56"/>
      <c r="H702" s="56"/>
    </row>
    <row r="703">
      <c r="D703" s="56"/>
      <c r="E703" s="56"/>
      <c r="F703" s="56"/>
      <c r="G703" s="56"/>
      <c r="H703" s="56"/>
    </row>
    <row r="704">
      <c r="D704" s="56"/>
      <c r="E704" s="56"/>
      <c r="F704" s="56"/>
      <c r="G704" s="56"/>
      <c r="H704" s="56"/>
    </row>
    <row r="705">
      <c r="D705" s="56"/>
      <c r="E705" s="56"/>
      <c r="F705" s="56"/>
      <c r="G705" s="56"/>
      <c r="H705" s="56"/>
    </row>
    <row r="706">
      <c r="D706" s="56"/>
      <c r="E706" s="56"/>
      <c r="F706" s="56"/>
      <c r="G706" s="56"/>
      <c r="H706" s="56"/>
    </row>
    <row r="707">
      <c r="D707" s="56"/>
      <c r="E707" s="56"/>
      <c r="F707" s="56"/>
      <c r="G707" s="56"/>
      <c r="H707" s="56"/>
    </row>
    <row r="708">
      <c r="D708" s="56"/>
      <c r="E708" s="56"/>
      <c r="F708" s="56"/>
      <c r="G708" s="56"/>
      <c r="H708" s="56"/>
    </row>
    <row r="709">
      <c r="D709" s="56"/>
      <c r="E709" s="56"/>
      <c r="F709" s="56"/>
      <c r="G709" s="56"/>
      <c r="H709" s="56"/>
    </row>
    <row r="710">
      <c r="D710" s="56"/>
      <c r="E710" s="56"/>
      <c r="F710" s="56"/>
      <c r="G710" s="56"/>
      <c r="H710" s="56"/>
    </row>
    <row r="711">
      <c r="D711" s="56"/>
      <c r="E711" s="56"/>
      <c r="F711" s="56"/>
      <c r="G711" s="56"/>
      <c r="H711" s="56"/>
    </row>
    <row r="712">
      <c r="D712" s="56"/>
      <c r="E712" s="56"/>
      <c r="F712" s="56"/>
      <c r="G712" s="56"/>
      <c r="H712" s="56"/>
    </row>
    <row r="713">
      <c r="D713" s="56"/>
      <c r="E713" s="56"/>
      <c r="F713" s="56"/>
      <c r="G713" s="56"/>
      <c r="H713" s="56"/>
    </row>
    <row r="714">
      <c r="D714" s="56"/>
      <c r="E714" s="56"/>
      <c r="F714" s="56"/>
      <c r="G714" s="56"/>
      <c r="H714" s="56"/>
    </row>
    <row r="715">
      <c r="D715" s="56"/>
      <c r="E715" s="56"/>
      <c r="F715" s="56"/>
      <c r="G715" s="56"/>
      <c r="H715" s="56"/>
    </row>
    <row r="716">
      <c r="D716" s="56"/>
      <c r="E716" s="56"/>
      <c r="F716" s="56"/>
      <c r="G716" s="56"/>
      <c r="H716" s="56"/>
    </row>
    <row r="717">
      <c r="D717" s="56"/>
      <c r="E717" s="56"/>
      <c r="F717" s="56"/>
      <c r="G717" s="56"/>
      <c r="H717" s="56"/>
    </row>
    <row r="718">
      <c r="D718" s="56"/>
      <c r="E718" s="56"/>
      <c r="F718" s="56"/>
      <c r="G718" s="56"/>
      <c r="H718" s="56"/>
    </row>
    <row r="719">
      <c r="D719" s="56"/>
      <c r="E719" s="56"/>
      <c r="F719" s="56"/>
      <c r="G719" s="56"/>
      <c r="H719" s="56"/>
    </row>
    <row r="720">
      <c r="D720" s="56"/>
      <c r="E720" s="56"/>
      <c r="F720" s="56"/>
      <c r="G720" s="56"/>
      <c r="H720" s="56"/>
    </row>
    <row r="721">
      <c r="D721" s="56"/>
      <c r="E721" s="56"/>
      <c r="F721" s="56"/>
      <c r="G721" s="56"/>
      <c r="H721" s="56"/>
    </row>
    <row r="722">
      <c r="D722" s="56"/>
      <c r="E722" s="56"/>
      <c r="F722" s="56"/>
      <c r="G722" s="56"/>
      <c r="H722" s="56"/>
    </row>
    <row r="723">
      <c r="D723" s="56"/>
      <c r="E723" s="56"/>
      <c r="F723" s="56"/>
      <c r="G723" s="56"/>
      <c r="H723" s="56"/>
    </row>
    <row r="724">
      <c r="D724" s="56"/>
      <c r="E724" s="56"/>
      <c r="F724" s="56"/>
      <c r="G724" s="56"/>
      <c r="H724" s="56"/>
    </row>
    <row r="725">
      <c r="D725" s="56"/>
      <c r="E725" s="56"/>
      <c r="F725" s="56"/>
      <c r="G725" s="56"/>
      <c r="H725" s="56"/>
    </row>
    <row r="726">
      <c r="D726" s="56"/>
      <c r="E726" s="56"/>
      <c r="F726" s="56"/>
      <c r="G726" s="56"/>
      <c r="H726" s="56"/>
    </row>
    <row r="727">
      <c r="D727" s="56"/>
      <c r="E727" s="56"/>
      <c r="F727" s="56"/>
      <c r="G727" s="56"/>
      <c r="H727" s="56"/>
    </row>
    <row r="728">
      <c r="D728" s="56"/>
      <c r="E728" s="56"/>
      <c r="F728" s="56"/>
      <c r="G728" s="56"/>
      <c r="H728" s="56"/>
    </row>
    <row r="729">
      <c r="D729" s="56"/>
      <c r="E729" s="56"/>
      <c r="F729" s="56"/>
      <c r="G729" s="56"/>
      <c r="H729" s="56"/>
    </row>
    <row r="730">
      <c r="D730" s="56"/>
      <c r="E730" s="56"/>
      <c r="F730" s="56"/>
      <c r="G730" s="56"/>
      <c r="H730" s="56"/>
    </row>
    <row r="731">
      <c r="D731" s="56"/>
      <c r="E731" s="56"/>
      <c r="F731" s="56"/>
      <c r="G731" s="56"/>
      <c r="H731" s="56"/>
    </row>
    <row r="732">
      <c r="D732" s="56"/>
      <c r="E732" s="56"/>
      <c r="F732" s="56"/>
      <c r="G732" s="56"/>
      <c r="H732" s="56"/>
    </row>
    <row r="733">
      <c r="D733" s="56"/>
      <c r="E733" s="56"/>
      <c r="F733" s="56"/>
      <c r="G733" s="56"/>
      <c r="H733" s="56"/>
    </row>
    <row r="734">
      <c r="D734" s="56"/>
      <c r="E734" s="56"/>
      <c r="F734" s="56"/>
      <c r="G734" s="56"/>
      <c r="H734" s="56"/>
    </row>
    <row r="735">
      <c r="D735" s="56"/>
      <c r="E735" s="56"/>
      <c r="F735" s="56"/>
      <c r="G735" s="56"/>
      <c r="H735" s="56"/>
    </row>
    <row r="736">
      <c r="D736" s="56"/>
      <c r="E736" s="56"/>
      <c r="F736" s="56"/>
      <c r="G736" s="56"/>
      <c r="H736" s="56"/>
    </row>
    <row r="737">
      <c r="D737" s="56"/>
      <c r="E737" s="56"/>
      <c r="F737" s="56"/>
      <c r="G737" s="56"/>
      <c r="H737" s="56"/>
    </row>
    <row r="738">
      <c r="D738" s="56"/>
      <c r="E738" s="56"/>
      <c r="F738" s="56"/>
      <c r="G738" s="56"/>
      <c r="H738" s="56"/>
    </row>
    <row r="739">
      <c r="D739" s="56"/>
      <c r="E739" s="56"/>
      <c r="F739" s="56"/>
      <c r="G739" s="56"/>
      <c r="H739" s="56"/>
    </row>
    <row r="740">
      <c r="D740" s="56"/>
      <c r="E740" s="56"/>
      <c r="F740" s="56"/>
      <c r="G740" s="56"/>
      <c r="H740" s="56"/>
    </row>
    <row r="741">
      <c r="D741" s="56"/>
      <c r="E741" s="56"/>
      <c r="F741" s="56"/>
      <c r="G741" s="56"/>
      <c r="H741" s="56"/>
    </row>
    <row r="742">
      <c r="D742" s="56"/>
      <c r="E742" s="56"/>
      <c r="F742" s="56"/>
      <c r="G742" s="56"/>
      <c r="H742" s="56"/>
    </row>
    <row r="743">
      <c r="D743" s="56"/>
      <c r="E743" s="56"/>
      <c r="F743" s="56"/>
      <c r="G743" s="56"/>
      <c r="H743" s="56"/>
    </row>
    <row r="744">
      <c r="D744" s="56"/>
      <c r="E744" s="56"/>
      <c r="F744" s="56"/>
      <c r="G744" s="56"/>
      <c r="H744" s="56"/>
    </row>
    <row r="745">
      <c r="D745" s="56"/>
      <c r="E745" s="56"/>
      <c r="F745" s="56"/>
      <c r="G745" s="56"/>
      <c r="H745" s="56"/>
    </row>
    <row r="746">
      <c r="D746" s="56"/>
      <c r="E746" s="56"/>
      <c r="F746" s="56"/>
      <c r="G746" s="56"/>
      <c r="H746" s="56"/>
    </row>
    <row r="747">
      <c r="D747" s="56"/>
      <c r="E747" s="56"/>
      <c r="F747" s="56"/>
      <c r="G747" s="56"/>
      <c r="H747" s="56"/>
    </row>
    <row r="748">
      <c r="D748" s="56"/>
      <c r="E748" s="56"/>
      <c r="F748" s="56"/>
      <c r="G748" s="56"/>
      <c r="H748" s="56"/>
    </row>
    <row r="749">
      <c r="D749" s="56"/>
      <c r="E749" s="56"/>
      <c r="F749" s="56"/>
      <c r="G749" s="56"/>
      <c r="H749" s="56"/>
    </row>
    <row r="750">
      <c r="D750" s="56"/>
      <c r="E750" s="56"/>
      <c r="F750" s="56"/>
      <c r="G750" s="56"/>
      <c r="H750" s="56"/>
    </row>
    <row r="751">
      <c r="D751" s="56"/>
      <c r="E751" s="56"/>
      <c r="F751" s="56"/>
      <c r="G751" s="56"/>
      <c r="H751" s="56"/>
    </row>
    <row r="752">
      <c r="D752" s="56"/>
      <c r="E752" s="56"/>
      <c r="F752" s="56"/>
      <c r="G752" s="56"/>
      <c r="H752" s="56"/>
    </row>
    <row r="753">
      <c r="D753" s="56"/>
      <c r="E753" s="56"/>
      <c r="F753" s="56"/>
      <c r="G753" s="56"/>
      <c r="H753" s="56"/>
    </row>
    <row r="754">
      <c r="D754" s="56"/>
      <c r="E754" s="56"/>
      <c r="F754" s="56"/>
      <c r="G754" s="56"/>
      <c r="H754" s="56"/>
    </row>
    <row r="755">
      <c r="D755" s="56"/>
      <c r="E755" s="56"/>
      <c r="F755" s="56"/>
      <c r="G755" s="56"/>
      <c r="H755" s="56"/>
    </row>
    <row r="756">
      <c r="D756" s="56"/>
      <c r="E756" s="56"/>
      <c r="F756" s="56"/>
      <c r="G756" s="56"/>
      <c r="H756" s="56"/>
    </row>
    <row r="757">
      <c r="D757" s="56"/>
      <c r="E757" s="56"/>
      <c r="F757" s="56"/>
      <c r="G757" s="56"/>
      <c r="H757" s="56"/>
    </row>
    <row r="758">
      <c r="D758" s="56"/>
      <c r="E758" s="56"/>
      <c r="F758" s="56"/>
      <c r="G758" s="56"/>
      <c r="H758" s="56"/>
    </row>
    <row r="759">
      <c r="D759" s="56"/>
      <c r="E759" s="56"/>
      <c r="F759" s="56"/>
      <c r="G759" s="56"/>
      <c r="H759" s="56"/>
    </row>
    <row r="760">
      <c r="D760" s="56"/>
      <c r="E760" s="56"/>
      <c r="F760" s="56"/>
      <c r="G760" s="56"/>
      <c r="H760" s="56"/>
    </row>
    <row r="761">
      <c r="D761" s="56"/>
      <c r="E761" s="56"/>
      <c r="F761" s="56"/>
      <c r="G761" s="56"/>
      <c r="H761" s="56"/>
    </row>
    <row r="762">
      <c r="D762" s="56"/>
      <c r="E762" s="56"/>
      <c r="F762" s="56"/>
      <c r="G762" s="56"/>
      <c r="H762" s="56"/>
    </row>
    <row r="763">
      <c r="D763" s="56"/>
      <c r="E763" s="56"/>
      <c r="F763" s="56"/>
      <c r="G763" s="56"/>
      <c r="H763" s="56"/>
    </row>
    <row r="764">
      <c r="D764" s="56"/>
      <c r="E764" s="56"/>
      <c r="F764" s="56"/>
      <c r="G764" s="56"/>
      <c r="H764" s="56"/>
    </row>
    <row r="765">
      <c r="D765" s="56"/>
      <c r="E765" s="56"/>
      <c r="F765" s="56"/>
      <c r="G765" s="56"/>
      <c r="H765" s="56"/>
    </row>
    <row r="766">
      <c r="D766" s="56"/>
      <c r="E766" s="56"/>
      <c r="F766" s="56"/>
      <c r="G766" s="56"/>
      <c r="H766" s="56"/>
    </row>
    <row r="767">
      <c r="D767" s="56"/>
      <c r="E767" s="56"/>
      <c r="F767" s="56"/>
      <c r="G767" s="56"/>
      <c r="H767" s="56"/>
    </row>
    <row r="768">
      <c r="D768" s="56"/>
      <c r="E768" s="56"/>
      <c r="F768" s="56"/>
      <c r="G768" s="56"/>
      <c r="H768" s="56"/>
    </row>
    <row r="769">
      <c r="D769" s="56"/>
      <c r="E769" s="56"/>
      <c r="F769" s="56"/>
      <c r="G769" s="56"/>
      <c r="H769" s="56"/>
    </row>
    <row r="770">
      <c r="D770" s="56"/>
      <c r="E770" s="56"/>
      <c r="F770" s="56"/>
      <c r="G770" s="56"/>
      <c r="H770" s="56"/>
    </row>
    <row r="771">
      <c r="D771" s="56"/>
      <c r="E771" s="56"/>
      <c r="F771" s="56"/>
      <c r="G771" s="56"/>
      <c r="H771" s="56"/>
    </row>
    <row r="772">
      <c r="D772" s="56"/>
      <c r="E772" s="56"/>
      <c r="F772" s="56"/>
      <c r="G772" s="56"/>
      <c r="H772" s="56"/>
    </row>
    <row r="773">
      <c r="D773" s="56"/>
      <c r="E773" s="56"/>
      <c r="F773" s="56"/>
      <c r="G773" s="56"/>
      <c r="H773" s="56"/>
    </row>
    <row r="774">
      <c r="D774" s="56"/>
      <c r="E774" s="56"/>
      <c r="F774" s="56"/>
      <c r="G774" s="56"/>
      <c r="H774" s="56"/>
    </row>
    <row r="775">
      <c r="D775" s="56"/>
      <c r="E775" s="56"/>
      <c r="F775" s="56"/>
      <c r="G775" s="56"/>
      <c r="H775" s="56"/>
    </row>
    <row r="776">
      <c r="D776" s="56"/>
      <c r="E776" s="56"/>
      <c r="F776" s="56"/>
      <c r="G776" s="56"/>
      <c r="H776" s="56"/>
    </row>
    <row r="777">
      <c r="D777" s="56"/>
      <c r="E777" s="56"/>
      <c r="F777" s="56"/>
      <c r="G777" s="56"/>
      <c r="H777" s="56"/>
    </row>
    <row r="778">
      <c r="D778" s="56"/>
      <c r="E778" s="56"/>
      <c r="F778" s="56"/>
      <c r="G778" s="56"/>
      <c r="H778" s="56"/>
    </row>
    <row r="779">
      <c r="D779" s="56"/>
      <c r="E779" s="56"/>
      <c r="F779" s="56"/>
      <c r="G779" s="56"/>
      <c r="H779" s="56"/>
    </row>
    <row r="780">
      <c r="D780" s="56"/>
      <c r="E780" s="56"/>
      <c r="F780" s="56"/>
      <c r="G780" s="56"/>
      <c r="H780" s="56"/>
    </row>
    <row r="781">
      <c r="D781" s="56"/>
      <c r="E781" s="56"/>
      <c r="F781" s="56"/>
      <c r="G781" s="56"/>
      <c r="H781" s="56"/>
    </row>
    <row r="782">
      <c r="D782" s="56"/>
      <c r="E782" s="56"/>
      <c r="F782" s="56"/>
      <c r="G782" s="56"/>
      <c r="H782" s="56"/>
    </row>
    <row r="783">
      <c r="D783" s="56"/>
      <c r="E783" s="56"/>
      <c r="F783" s="56"/>
      <c r="G783" s="56"/>
      <c r="H783" s="56"/>
    </row>
    <row r="784">
      <c r="D784" s="56"/>
      <c r="E784" s="56"/>
      <c r="F784" s="56"/>
      <c r="G784" s="56"/>
      <c r="H784" s="56"/>
    </row>
    <row r="785">
      <c r="D785" s="56"/>
      <c r="E785" s="56"/>
      <c r="F785" s="56"/>
      <c r="G785" s="56"/>
      <c r="H785" s="56"/>
    </row>
    <row r="786">
      <c r="D786" s="56"/>
      <c r="E786" s="56"/>
      <c r="F786" s="56"/>
      <c r="G786" s="56"/>
      <c r="H786" s="56"/>
    </row>
    <row r="787">
      <c r="D787" s="56"/>
      <c r="E787" s="56"/>
      <c r="F787" s="56"/>
      <c r="G787" s="56"/>
      <c r="H787" s="56"/>
    </row>
    <row r="788">
      <c r="D788" s="56"/>
      <c r="E788" s="56"/>
      <c r="F788" s="56"/>
      <c r="G788" s="56"/>
      <c r="H788" s="56"/>
    </row>
    <row r="789">
      <c r="D789" s="56"/>
      <c r="E789" s="56"/>
      <c r="F789" s="56"/>
      <c r="G789" s="56"/>
      <c r="H789" s="56"/>
    </row>
    <row r="790">
      <c r="D790" s="56"/>
      <c r="E790" s="56"/>
      <c r="F790" s="56"/>
      <c r="G790" s="56"/>
      <c r="H790" s="56"/>
    </row>
    <row r="791">
      <c r="D791" s="56"/>
      <c r="E791" s="56"/>
      <c r="F791" s="56"/>
      <c r="G791" s="56"/>
      <c r="H791" s="56"/>
    </row>
    <row r="792">
      <c r="D792" s="56"/>
      <c r="E792" s="56"/>
      <c r="F792" s="56"/>
      <c r="G792" s="56"/>
      <c r="H792" s="56"/>
    </row>
    <row r="793">
      <c r="D793" s="56"/>
      <c r="E793" s="56"/>
      <c r="F793" s="56"/>
      <c r="G793" s="56"/>
      <c r="H793" s="56"/>
    </row>
    <row r="794">
      <c r="D794" s="56"/>
      <c r="E794" s="56"/>
      <c r="F794" s="56"/>
      <c r="G794" s="56"/>
      <c r="H794" s="56"/>
    </row>
    <row r="795">
      <c r="D795" s="56"/>
      <c r="E795" s="56"/>
      <c r="F795" s="56"/>
      <c r="G795" s="56"/>
      <c r="H795" s="56"/>
    </row>
    <row r="796">
      <c r="D796" s="56"/>
      <c r="E796" s="56"/>
      <c r="F796" s="56"/>
      <c r="G796" s="56"/>
      <c r="H796" s="56"/>
    </row>
    <row r="797">
      <c r="D797" s="56"/>
      <c r="E797" s="56"/>
      <c r="F797" s="56"/>
      <c r="G797" s="56"/>
      <c r="H797" s="56"/>
    </row>
    <row r="798">
      <c r="D798" s="56"/>
      <c r="E798" s="56"/>
      <c r="F798" s="56"/>
      <c r="G798" s="56"/>
      <c r="H798" s="56"/>
    </row>
    <row r="799">
      <c r="D799" s="56"/>
      <c r="E799" s="56"/>
      <c r="F799" s="56"/>
      <c r="G799" s="56"/>
      <c r="H799" s="56"/>
    </row>
    <row r="800">
      <c r="D800" s="56"/>
      <c r="E800" s="56"/>
      <c r="F800" s="56"/>
      <c r="G800" s="56"/>
      <c r="H800" s="56"/>
    </row>
    <row r="801">
      <c r="D801" s="56"/>
      <c r="E801" s="56"/>
      <c r="F801" s="56"/>
      <c r="G801" s="56"/>
      <c r="H801" s="56"/>
    </row>
    <row r="802">
      <c r="D802" s="56"/>
      <c r="E802" s="56"/>
      <c r="F802" s="56"/>
      <c r="G802" s="56"/>
      <c r="H802" s="56"/>
    </row>
    <row r="803">
      <c r="D803" s="56"/>
      <c r="E803" s="56"/>
      <c r="F803" s="56"/>
      <c r="G803" s="56"/>
      <c r="H803" s="56"/>
    </row>
    <row r="804">
      <c r="D804" s="56"/>
      <c r="E804" s="56"/>
      <c r="F804" s="56"/>
      <c r="G804" s="56"/>
      <c r="H804" s="56"/>
    </row>
    <row r="805">
      <c r="D805" s="56"/>
      <c r="E805" s="56"/>
      <c r="F805" s="56"/>
      <c r="G805" s="56"/>
      <c r="H805" s="56"/>
    </row>
    <row r="806">
      <c r="D806" s="56"/>
      <c r="E806" s="56"/>
      <c r="F806" s="56"/>
      <c r="G806" s="56"/>
      <c r="H806" s="56"/>
    </row>
    <row r="807">
      <c r="D807" s="56"/>
      <c r="E807" s="56"/>
      <c r="F807" s="56"/>
      <c r="G807" s="56"/>
      <c r="H807" s="56"/>
    </row>
    <row r="808">
      <c r="D808" s="56"/>
      <c r="E808" s="56"/>
      <c r="F808" s="56"/>
      <c r="G808" s="56"/>
      <c r="H808" s="56"/>
    </row>
    <row r="809">
      <c r="D809" s="56"/>
      <c r="E809" s="56"/>
      <c r="F809" s="56"/>
      <c r="G809" s="56"/>
      <c r="H809" s="56"/>
    </row>
    <row r="810">
      <c r="D810" s="56"/>
      <c r="E810" s="56"/>
      <c r="F810" s="56"/>
      <c r="G810" s="56"/>
      <c r="H810" s="56"/>
    </row>
    <row r="811">
      <c r="D811" s="56"/>
      <c r="E811" s="56"/>
      <c r="F811" s="56"/>
      <c r="G811" s="56"/>
      <c r="H811" s="56"/>
    </row>
    <row r="812">
      <c r="D812" s="56"/>
      <c r="E812" s="56"/>
      <c r="F812" s="56"/>
      <c r="G812" s="56"/>
      <c r="H812" s="56"/>
    </row>
    <row r="813">
      <c r="D813" s="56"/>
      <c r="E813" s="56"/>
      <c r="F813" s="56"/>
      <c r="G813" s="56"/>
      <c r="H813" s="56"/>
    </row>
    <row r="814">
      <c r="D814" s="56"/>
      <c r="E814" s="56"/>
      <c r="F814" s="56"/>
      <c r="G814" s="56"/>
      <c r="H814" s="56"/>
    </row>
    <row r="815">
      <c r="D815" s="56"/>
      <c r="E815" s="56"/>
      <c r="F815" s="56"/>
      <c r="G815" s="56"/>
      <c r="H815" s="56"/>
    </row>
    <row r="816">
      <c r="D816" s="56"/>
      <c r="E816" s="56"/>
      <c r="F816" s="56"/>
      <c r="G816" s="56"/>
      <c r="H816" s="56"/>
    </row>
    <row r="817">
      <c r="D817" s="56"/>
      <c r="E817" s="56"/>
      <c r="F817" s="56"/>
      <c r="G817" s="56"/>
      <c r="H817" s="56"/>
    </row>
    <row r="818">
      <c r="D818" s="56"/>
      <c r="E818" s="56"/>
      <c r="F818" s="56"/>
      <c r="G818" s="56"/>
      <c r="H818" s="56"/>
    </row>
    <row r="819">
      <c r="D819" s="56"/>
      <c r="E819" s="56"/>
      <c r="F819" s="56"/>
      <c r="G819" s="56"/>
      <c r="H819" s="56"/>
    </row>
    <row r="820">
      <c r="D820" s="56"/>
      <c r="E820" s="56"/>
      <c r="F820" s="56"/>
      <c r="G820" s="56"/>
      <c r="H820" s="56"/>
    </row>
    <row r="821">
      <c r="D821" s="56"/>
      <c r="E821" s="56"/>
      <c r="F821" s="56"/>
      <c r="G821" s="56"/>
      <c r="H821" s="56"/>
    </row>
    <row r="822">
      <c r="D822" s="56"/>
      <c r="E822" s="56"/>
      <c r="F822" s="56"/>
      <c r="G822" s="56"/>
      <c r="H822" s="56"/>
    </row>
    <row r="823">
      <c r="D823" s="56"/>
      <c r="E823" s="56"/>
      <c r="F823" s="56"/>
      <c r="G823" s="56"/>
      <c r="H823" s="56"/>
    </row>
    <row r="824">
      <c r="D824" s="56"/>
      <c r="E824" s="56"/>
      <c r="F824" s="56"/>
      <c r="G824" s="56"/>
      <c r="H824" s="56"/>
    </row>
    <row r="825">
      <c r="D825" s="56"/>
      <c r="E825" s="56"/>
      <c r="F825" s="56"/>
      <c r="G825" s="56"/>
      <c r="H825" s="56"/>
    </row>
    <row r="826">
      <c r="D826" s="56"/>
      <c r="E826" s="56"/>
      <c r="F826" s="56"/>
      <c r="G826" s="56"/>
      <c r="H826" s="56"/>
    </row>
    <row r="827">
      <c r="D827" s="56"/>
      <c r="E827" s="56"/>
      <c r="F827" s="56"/>
      <c r="G827" s="56"/>
      <c r="H827" s="56"/>
    </row>
    <row r="828">
      <c r="D828" s="56"/>
      <c r="E828" s="56"/>
      <c r="F828" s="56"/>
      <c r="G828" s="56"/>
      <c r="H828" s="56"/>
    </row>
    <row r="829">
      <c r="D829" s="56"/>
      <c r="E829" s="56"/>
      <c r="F829" s="56"/>
      <c r="G829" s="56"/>
      <c r="H829" s="56"/>
    </row>
    <row r="830">
      <c r="D830" s="56"/>
      <c r="E830" s="56"/>
      <c r="F830" s="56"/>
      <c r="G830" s="56"/>
      <c r="H830" s="56"/>
    </row>
    <row r="831">
      <c r="D831" s="56"/>
      <c r="E831" s="56"/>
      <c r="F831" s="56"/>
      <c r="G831" s="56"/>
      <c r="H831" s="56"/>
    </row>
    <row r="832">
      <c r="D832" s="56"/>
      <c r="E832" s="56"/>
      <c r="F832" s="56"/>
      <c r="G832" s="56"/>
      <c r="H832" s="56"/>
    </row>
    <row r="833">
      <c r="D833" s="56"/>
      <c r="E833" s="56"/>
      <c r="F833" s="56"/>
      <c r="G833" s="56"/>
      <c r="H833" s="56"/>
    </row>
    <row r="834">
      <c r="D834" s="56"/>
      <c r="E834" s="56"/>
      <c r="F834" s="56"/>
      <c r="G834" s="56"/>
      <c r="H834" s="56"/>
    </row>
    <row r="835">
      <c r="D835" s="56"/>
      <c r="E835" s="56"/>
      <c r="F835" s="56"/>
      <c r="G835" s="56"/>
      <c r="H835" s="56"/>
    </row>
    <row r="836">
      <c r="D836" s="56"/>
      <c r="E836" s="56"/>
      <c r="F836" s="56"/>
      <c r="G836" s="56"/>
      <c r="H836" s="56"/>
    </row>
    <row r="837">
      <c r="D837" s="56"/>
      <c r="E837" s="56"/>
      <c r="F837" s="56"/>
      <c r="G837" s="56"/>
      <c r="H837" s="56"/>
    </row>
    <row r="838">
      <c r="D838" s="56"/>
      <c r="E838" s="56"/>
      <c r="F838" s="56"/>
      <c r="G838" s="56"/>
      <c r="H838" s="56"/>
    </row>
    <row r="839">
      <c r="D839" s="56"/>
      <c r="E839" s="56"/>
      <c r="F839" s="56"/>
      <c r="G839" s="56"/>
      <c r="H839" s="56"/>
    </row>
    <row r="840">
      <c r="D840" s="56"/>
      <c r="E840" s="56"/>
      <c r="F840" s="56"/>
      <c r="G840" s="56"/>
      <c r="H840" s="56"/>
    </row>
    <row r="841">
      <c r="D841" s="56"/>
      <c r="E841" s="56"/>
      <c r="F841" s="56"/>
      <c r="G841" s="56"/>
      <c r="H841" s="56"/>
    </row>
    <row r="842">
      <c r="D842" s="56"/>
      <c r="E842" s="56"/>
      <c r="F842" s="56"/>
      <c r="G842" s="56"/>
      <c r="H842" s="56"/>
    </row>
    <row r="843">
      <c r="D843" s="56"/>
      <c r="E843" s="56"/>
      <c r="F843" s="56"/>
      <c r="G843" s="56"/>
      <c r="H843" s="56"/>
    </row>
    <row r="844">
      <c r="D844" s="56"/>
      <c r="E844" s="56"/>
      <c r="F844" s="56"/>
      <c r="G844" s="56"/>
      <c r="H844" s="56"/>
    </row>
    <row r="845">
      <c r="D845" s="56"/>
      <c r="E845" s="56"/>
      <c r="F845" s="56"/>
      <c r="G845" s="56"/>
      <c r="H845" s="56"/>
    </row>
    <row r="846">
      <c r="D846" s="56"/>
      <c r="E846" s="56"/>
      <c r="F846" s="56"/>
      <c r="G846" s="56"/>
      <c r="H846" s="56"/>
    </row>
    <row r="847">
      <c r="D847" s="56"/>
      <c r="E847" s="56"/>
      <c r="F847" s="56"/>
      <c r="G847" s="56"/>
      <c r="H847" s="56"/>
    </row>
    <row r="848">
      <c r="D848" s="56"/>
      <c r="E848" s="56"/>
      <c r="F848" s="56"/>
      <c r="G848" s="56"/>
      <c r="H848" s="56"/>
    </row>
    <row r="849">
      <c r="D849" s="56"/>
      <c r="E849" s="56"/>
      <c r="F849" s="56"/>
      <c r="G849" s="56"/>
      <c r="H849" s="56"/>
    </row>
    <row r="850">
      <c r="D850" s="56"/>
      <c r="E850" s="56"/>
      <c r="F850" s="56"/>
      <c r="G850" s="56"/>
      <c r="H850" s="56"/>
    </row>
    <row r="851">
      <c r="D851" s="56"/>
      <c r="E851" s="56"/>
      <c r="F851" s="56"/>
      <c r="G851" s="56"/>
      <c r="H851" s="56"/>
    </row>
    <row r="852">
      <c r="D852" s="56"/>
      <c r="E852" s="56"/>
      <c r="F852" s="56"/>
      <c r="G852" s="56"/>
      <c r="H852" s="56"/>
    </row>
    <row r="853">
      <c r="D853" s="56"/>
      <c r="E853" s="56"/>
      <c r="F853" s="56"/>
      <c r="G853" s="56"/>
      <c r="H853" s="56"/>
    </row>
    <row r="854">
      <c r="D854" s="56"/>
      <c r="E854" s="56"/>
      <c r="F854" s="56"/>
      <c r="G854" s="56"/>
      <c r="H854" s="56"/>
    </row>
    <row r="855">
      <c r="D855" s="56"/>
      <c r="E855" s="56"/>
      <c r="F855" s="56"/>
      <c r="G855" s="56"/>
      <c r="H855" s="56"/>
    </row>
    <row r="856">
      <c r="D856" s="56"/>
      <c r="E856" s="56"/>
      <c r="F856" s="56"/>
      <c r="G856" s="56"/>
      <c r="H856" s="56"/>
    </row>
    <row r="857">
      <c r="D857" s="56"/>
      <c r="E857" s="56"/>
      <c r="F857" s="56"/>
      <c r="G857" s="56"/>
      <c r="H857" s="56"/>
    </row>
    <row r="858">
      <c r="D858" s="56"/>
      <c r="E858" s="56"/>
      <c r="F858" s="56"/>
      <c r="G858" s="56"/>
      <c r="H858" s="56"/>
    </row>
    <row r="859">
      <c r="D859" s="56"/>
      <c r="E859" s="56"/>
      <c r="F859" s="56"/>
      <c r="G859" s="56"/>
      <c r="H859" s="56"/>
    </row>
    <row r="860">
      <c r="D860" s="56"/>
      <c r="E860" s="56"/>
      <c r="F860" s="56"/>
      <c r="G860" s="56"/>
      <c r="H860" s="56"/>
    </row>
    <row r="861">
      <c r="D861" s="56"/>
      <c r="E861" s="56"/>
      <c r="F861" s="56"/>
      <c r="G861" s="56"/>
      <c r="H861" s="56"/>
    </row>
    <row r="862">
      <c r="D862" s="56"/>
      <c r="E862" s="56"/>
      <c r="F862" s="56"/>
      <c r="G862" s="56"/>
      <c r="H862" s="56"/>
    </row>
    <row r="863">
      <c r="D863" s="56"/>
      <c r="E863" s="56"/>
      <c r="F863" s="56"/>
      <c r="G863" s="56"/>
      <c r="H863" s="56"/>
    </row>
    <row r="864">
      <c r="D864" s="56"/>
      <c r="E864" s="56"/>
      <c r="F864" s="56"/>
      <c r="G864" s="56"/>
      <c r="H864" s="56"/>
    </row>
    <row r="865">
      <c r="D865" s="56"/>
      <c r="E865" s="56"/>
      <c r="F865" s="56"/>
      <c r="G865" s="56"/>
      <c r="H865" s="56"/>
    </row>
    <row r="866">
      <c r="D866" s="56"/>
      <c r="E866" s="56"/>
      <c r="F866" s="56"/>
      <c r="G866" s="56"/>
      <c r="H866" s="56"/>
    </row>
    <row r="867">
      <c r="D867" s="56"/>
      <c r="E867" s="56"/>
      <c r="F867" s="56"/>
      <c r="G867" s="56"/>
      <c r="H867" s="56"/>
    </row>
    <row r="868">
      <c r="D868" s="56"/>
      <c r="E868" s="56"/>
      <c r="F868" s="56"/>
      <c r="G868" s="56"/>
      <c r="H868" s="56"/>
    </row>
    <row r="869">
      <c r="D869" s="56"/>
      <c r="E869" s="56"/>
      <c r="F869" s="56"/>
      <c r="G869" s="56"/>
      <c r="H869" s="56"/>
    </row>
    <row r="870">
      <c r="D870" s="56"/>
      <c r="E870" s="56"/>
      <c r="F870" s="56"/>
      <c r="G870" s="56"/>
      <c r="H870" s="56"/>
    </row>
    <row r="871">
      <c r="D871" s="56"/>
      <c r="E871" s="56"/>
      <c r="F871" s="56"/>
      <c r="G871" s="56"/>
      <c r="H871" s="56"/>
    </row>
    <row r="872">
      <c r="D872" s="56"/>
      <c r="E872" s="56"/>
      <c r="F872" s="56"/>
      <c r="G872" s="56"/>
      <c r="H872" s="56"/>
    </row>
    <row r="873">
      <c r="D873" s="56"/>
      <c r="E873" s="56"/>
      <c r="F873" s="56"/>
      <c r="G873" s="56"/>
      <c r="H873" s="56"/>
    </row>
    <row r="874">
      <c r="D874" s="56"/>
      <c r="E874" s="56"/>
      <c r="F874" s="56"/>
      <c r="G874" s="56"/>
      <c r="H874" s="56"/>
    </row>
    <row r="875">
      <c r="D875" s="56"/>
      <c r="E875" s="56"/>
      <c r="F875" s="56"/>
      <c r="G875" s="56"/>
      <c r="H875" s="56"/>
    </row>
    <row r="876">
      <c r="D876" s="56"/>
      <c r="E876" s="56"/>
      <c r="F876" s="56"/>
      <c r="G876" s="56"/>
      <c r="H876" s="56"/>
    </row>
    <row r="877">
      <c r="D877" s="56"/>
      <c r="E877" s="56"/>
      <c r="F877" s="56"/>
      <c r="G877" s="56"/>
      <c r="H877" s="56"/>
    </row>
    <row r="878">
      <c r="D878" s="56"/>
      <c r="E878" s="56"/>
      <c r="F878" s="56"/>
      <c r="G878" s="56"/>
      <c r="H878" s="56"/>
    </row>
    <row r="879">
      <c r="D879" s="56"/>
      <c r="E879" s="56"/>
      <c r="F879" s="56"/>
      <c r="G879" s="56"/>
      <c r="H879" s="56"/>
    </row>
    <row r="880">
      <c r="D880" s="56"/>
      <c r="E880" s="56"/>
      <c r="F880" s="56"/>
      <c r="G880" s="56"/>
      <c r="H880" s="56"/>
    </row>
    <row r="881">
      <c r="D881" s="56"/>
      <c r="E881" s="56"/>
      <c r="F881" s="56"/>
      <c r="G881" s="56"/>
      <c r="H881" s="56"/>
    </row>
    <row r="882">
      <c r="D882" s="56"/>
      <c r="E882" s="56"/>
      <c r="F882" s="56"/>
      <c r="G882" s="56"/>
      <c r="H882" s="56"/>
    </row>
    <row r="883">
      <c r="D883" s="56"/>
      <c r="E883" s="56"/>
      <c r="F883" s="56"/>
      <c r="G883" s="56"/>
      <c r="H883" s="56"/>
    </row>
    <row r="884">
      <c r="D884" s="56"/>
      <c r="E884" s="56"/>
      <c r="F884" s="56"/>
      <c r="G884" s="56"/>
      <c r="H884" s="56"/>
    </row>
    <row r="885">
      <c r="D885" s="56"/>
      <c r="E885" s="56"/>
      <c r="F885" s="56"/>
      <c r="G885" s="56"/>
      <c r="H885" s="56"/>
    </row>
    <row r="886">
      <c r="D886" s="56"/>
      <c r="E886" s="56"/>
      <c r="F886" s="56"/>
      <c r="G886" s="56"/>
      <c r="H886" s="56"/>
    </row>
    <row r="887">
      <c r="D887" s="56"/>
      <c r="E887" s="56"/>
      <c r="F887" s="56"/>
      <c r="G887" s="56"/>
      <c r="H887" s="56"/>
    </row>
    <row r="888">
      <c r="D888" s="56"/>
      <c r="E888" s="56"/>
      <c r="F888" s="56"/>
      <c r="G888" s="56"/>
      <c r="H888" s="56"/>
    </row>
    <row r="889">
      <c r="D889" s="56"/>
      <c r="E889" s="56"/>
      <c r="F889" s="56"/>
      <c r="G889" s="56"/>
      <c r="H889" s="56"/>
    </row>
    <row r="890">
      <c r="D890" s="56"/>
      <c r="E890" s="56"/>
      <c r="F890" s="56"/>
      <c r="G890" s="56"/>
      <c r="H890" s="56"/>
    </row>
    <row r="891">
      <c r="D891" s="56"/>
      <c r="E891" s="56"/>
      <c r="F891" s="56"/>
      <c r="G891" s="56"/>
      <c r="H891" s="56"/>
    </row>
    <row r="892">
      <c r="D892" s="56"/>
      <c r="E892" s="56"/>
      <c r="F892" s="56"/>
      <c r="G892" s="56"/>
      <c r="H892" s="56"/>
    </row>
    <row r="893">
      <c r="D893" s="56"/>
      <c r="E893" s="56"/>
      <c r="F893" s="56"/>
      <c r="G893" s="56"/>
      <c r="H893" s="56"/>
    </row>
    <row r="894">
      <c r="D894" s="56"/>
      <c r="E894" s="56"/>
      <c r="F894" s="56"/>
      <c r="G894" s="56"/>
      <c r="H894" s="56"/>
    </row>
    <row r="895">
      <c r="D895" s="56"/>
      <c r="E895" s="56"/>
      <c r="F895" s="56"/>
      <c r="G895" s="56"/>
      <c r="H895" s="56"/>
    </row>
    <row r="896">
      <c r="D896" s="56"/>
      <c r="E896" s="56"/>
      <c r="F896" s="56"/>
      <c r="G896" s="56"/>
      <c r="H896" s="56"/>
    </row>
    <row r="897">
      <c r="D897" s="56"/>
      <c r="E897" s="56"/>
      <c r="F897" s="56"/>
      <c r="G897" s="56"/>
      <c r="H897" s="56"/>
    </row>
    <row r="898">
      <c r="D898" s="56"/>
      <c r="E898" s="56"/>
      <c r="F898" s="56"/>
      <c r="G898" s="56"/>
      <c r="H898" s="56"/>
    </row>
    <row r="899">
      <c r="D899" s="56"/>
      <c r="E899" s="56"/>
      <c r="F899" s="56"/>
      <c r="G899" s="56"/>
      <c r="H899" s="56"/>
    </row>
    <row r="900">
      <c r="D900" s="56"/>
      <c r="E900" s="56"/>
      <c r="F900" s="56"/>
      <c r="G900" s="56"/>
      <c r="H900" s="56"/>
    </row>
    <row r="901">
      <c r="D901" s="56"/>
      <c r="E901" s="56"/>
      <c r="F901" s="56"/>
      <c r="G901" s="56"/>
      <c r="H901" s="56"/>
    </row>
    <row r="902">
      <c r="D902" s="56"/>
      <c r="E902" s="56"/>
      <c r="F902" s="56"/>
      <c r="G902" s="56"/>
      <c r="H902" s="56"/>
    </row>
    <row r="903">
      <c r="D903" s="56"/>
      <c r="E903" s="56"/>
      <c r="F903" s="56"/>
      <c r="G903" s="56"/>
      <c r="H903" s="56"/>
    </row>
    <row r="904">
      <c r="D904" s="56"/>
      <c r="E904" s="56"/>
      <c r="F904" s="56"/>
      <c r="G904" s="56"/>
      <c r="H904" s="56"/>
    </row>
    <row r="905">
      <c r="D905" s="56"/>
      <c r="E905" s="56"/>
      <c r="F905" s="56"/>
      <c r="G905" s="56"/>
      <c r="H905" s="56"/>
    </row>
    <row r="906">
      <c r="D906" s="56"/>
      <c r="E906" s="56"/>
      <c r="F906" s="56"/>
      <c r="G906" s="56"/>
      <c r="H906" s="56"/>
    </row>
    <row r="907">
      <c r="D907" s="56"/>
      <c r="E907" s="56"/>
      <c r="F907" s="56"/>
      <c r="G907" s="56"/>
      <c r="H907" s="56"/>
    </row>
    <row r="908">
      <c r="D908" s="56"/>
      <c r="E908" s="56"/>
      <c r="F908" s="56"/>
      <c r="G908" s="56"/>
      <c r="H908" s="56"/>
    </row>
    <row r="909">
      <c r="D909" s="56"/>
      <c r="E909" s="56"/>
      <c r="F909" s="56"/>
      <c r="G909" s="56"/>
      <c r="H909" s="56"/>
    </row>
    <row r="910">
      <c r="D910" s="56"/>
      <c r="E910" s="56"/>
      <c r="F910" s="56"/>
      <c r="G910" s="56"/>
      <c r="H910" s="56"/>
    </row>
    <row r="911">
      <c r="D911" s="56"/>
      <c r="E911" s="56"/>
      <c r="F911" s="56"/>
      <c r="G911" s="56"/>
      <c r="H911" s="56"/>
    </row>
    <row r="912">
      <c r="D912" s="56"/>
      <c r="E912" s="56"/>
      <c r="F912" s="56"/>
      <c r="G912" s="56"/>
      <c r="H912" s="56"/>
    </row>
    <row r="913">
      <c r="D913" s="56"/>
      <c r="E913" s="56"/>
      <c r="F913" s="56"/>
      <c r="G913" s="56"/>
      <c r="H913" s="56"/>
    </row>
    <row r="914">
      <c r="D914" s="56"/>
      <c r="E914" s="56"/>
      <c r="F914" s="56"/>
      <c r="G914" s="56"/>
      <c r="H914" s="56"/>
    </row>
    <row r="915">
      <c r="D915" s="56"/>
      <c r="E915" s="56"/>
      <c r="F915" s="56"/>
      <c r="G915" s="56"/>
      <c r="H915" s="56"/>
    </row>
    <row r="916">
      <c r="D916" s="56"/>
      <c r="E916" s="56"/>
      <c r="F916" s="56"/>
      <c r="G916" s="56"/>
      <c r="H916" s="56"/>
    </row>
    <row r="917">
      <c r="D917" s="56"/>
      <c r="E917" s="56"/>
      <c r="F917" s="56"/>
      <c r="G917" s="56"/>
      <c r="H917" s="56"/>
    </row>
    <row r="918">
      <c r="D918" s="56"/>
      <c r="E918" s="56"/>
      <c r="F918" s="56"/>
      <c r="G918" s="56"/>
      <c r="H918" s="56"/>
    </row>
    <row r="919">
      <c r="D919" s="56"/>
      <c r="E919" s="56"/>
      <c r="F919" s="56"/>
      <c r="G919" s="56"/>
      <c r="H919" s="56"/>
    </row>
    <row r="920">
      <c r="D920" s="56"/>
      <c r="E920" s="56"/>
      <c r="F920" s="56"/>
      <c r="G920" s="56"/>
      <c r="H920" s="56"/>
    </row>
    <row r="921">
      <c r="D921" s="56"/>
      <c r="E921" s="56"/>
      <c r="F921" s="56"/>
      <c r="G921" s="56"/>
      <c r="H921" s="56"/>
    </row>
    <row r="922">
      <c r="D922" s="56"/>
      <c r="E922" s="56"/>
      <c r="F922" s="56"/>
      <c r="G922" s="56"/>
      <c r="H922" s="56"/>
    </row>
    <row r="923">
      <c r="D923" s="56"/>
      <c r="E923" s="56"/>
      <c r="F923" s="56"/>
      <c r="G923" s="56"/>
      <c r="H923" s="56"/>
    </row>
    <row r="924">
      <c r="D924" s="56"/>
      <c r="E924" s="56"/>
      <c r="F924" s="56"/>
      <c r="G924" s="56"/>
      <c r="H924" s="56"/>
    </row>
    <row r="925">
      <c r="D925" s="56"/>
      <c r="E925" s="56"/>
      <c r="F925" s="56"/>
      <c r="G925" s="56"/>
      <c r="H925" s="56"/>
    </row>
    <row r="926">
      <c r="D926" s="56"/>
      <c r="E926" s="56"/>
      <c r="F926" s="56"/>
      <c r="G926" s="56"/>
      <c r="H926" s="56"/>
    </row>
    <row r="927">
      <c r="D927" s="56"/>
      <c r="E927" s="56"/>
      <c r="F927" s="56"/>
      <c r="G927" s="56"/>
      <c r="H927" s="56"/>
    </row>
    <row r="928">
      <c r="D928" s="56"/>
      <c r="E928" s="56"/>
      <c r="F928" s="56"/>
      <c r="G928" s="56"/>
      <c r="H928" s="56"/>
    </row>
    <row r="929">
      <c r="D929" s="56"/>
      <c r="E929" s="56"/>
      <c r="F929" s="56"/>
      <c r="G929" s="56"/>
      <c r="H929" s="56"/>
    </row>
    <row r="930">
      <c r="D930" s="56"/>
      <c r="E930" s="56"/>
      <c r="F930" s="56"/>
      <c r="G930" s="56"/>
      <c r="H930" s="56"/>
    </row>
    <row r="931">
      <c r="D931" s="56"/>
      <c r="E931" s="56"/>
      <c r="F931" s="56"/>
      <c r="G931" s="56"/>
      <c r="H931" s="56"/>
    </row>
    <row r="932">
      <c r="D932" s="56"/>
      <c r="E932" s="56"/>
      <c r="F932" s="56"/>
      <c r="G932" s="56"/>
      <c r="H932" s="56"/>
    </row>
    <row r="933">
      <c r="D933" s="56"/>
      <c r="E933" s="56"/>
      <c r="F933" s="56"/>
      <c r="G933" s="56"/>
      <c r="H933" s="56"/>
    </row>
    <row r="934">
      <c r="D934" s="56"/>
      <c r="E934" s="56"/>
      <c r="F934" s="56"/>
      <c r="G934" s="56"/>
      <c r="H934" s="56"/>
    </row>
    <row r="935">
      <c r="D935" s="56"/>
      <c r="E935" s="56"/>
      <c r="F935" s="56"/>
      <c r="G935" s="56"/>
      <c r="H935" s="56"/>
    </row>
    <row r="936">
      <c r="D936" s="56"/>
      <c r="E936" s="56"/>
      <c r="F936" s="56"/>
      <c r="G936" s="56"/>
      <c r="H936" s="56"/>
    </row>
    <row r="937">
      <c r="D937" s="56"/>
      <c r="E937" s="56"/>
      <c r="F937" s="56"/>
      <c r="G937" s="56"/>
      <c r="H937" s="56"/>
    </row>
    <row r="938">
      <c r="D938" s="56"/>
      <c r="E938" s="56"/>
      <c r="F938" s="56"/>
      <c r="G938" s="56"/>
      <c r="H938" s="56"/>
    </row>
    <row r="939">
      <c r="D939" s="56"/>
      <c r="E939" s="56"/>
      <c r="F939" s="56"/>
      <c r="G939" s="56"/>
      <c r="H939" s="56"/>
    </row>
    <row r="940">
      <c r="D940" s="56"/>
      <c r="E940" s="56"/>
      <c r="F940" s="56"/>
      <c r="G940" s="56"/>
      <c r="H940" s="56"/>
    </row>
    <row r="941">
      <c r="D941" s="56"/>
      <c r="E941" s="56"/>
      <c r="F941" s="56"/>
      <c r="G941" s="56"/>
      <c r="H941" s="56"/>
    </row>
    <row r="942">
      <c r="D942" s="56"/>
      <c r="E942" s="56"/>
      <c r="F942" s="56"/>
      <c r="G942" s="56"/>
      <c r="H942" s="56"/>
    </row>
    <row r="943">
      <c r="D943" s="56"/>
      <c r="E943" s="56"/>
      <c r="F943" s="56"/>
      <c r="G943" s="56"/>
      <c r="H943" s="56"/>
    </row>
    <row r="944">
      <c r="D944" s="56"/>
      <c r="E944" s="56"/>
      <c r="F944" s="56"/>
      <c r="G944" s="56"/>
      <c r="H944" s="56"/>
    </row>
    <row r="945">
      <c r="D945" s="56"/>
      <c r="E945" s="56"/>
      <c r="F945" s="56"/>
      <c r="G945" s="56"/>
      <c r="H945" s="56"/>
    </row>
    <row r="946">
      <c r="D946" s="56"/>
      <c r="E946" s="56"/>
      <c r="F946" s="56"/>
      <c r="G946" s="56"/>
      <c r="H946" s="56"/>
    </row>
    <row r="947">
      <c r="D947" s="56"/>
      <c r="E947" s="56"/>
      <c r="F947" s="56"/>
      <c r="G947" s="56"/>
      <c r="H947" s="56"/>
    </row>
    <row r="948">
      <c r="D948" s="56"/>
      <c r="E948" s="56"/>
      <c r="F948" s="56"/>
      <c r="G948" s="56"/>
      <c r="H948" s="56"/>
    </row>
    <row r="949">
      <c r="D949" s="56"/>
      <c r="E949" s="56"/>
      <c r="F949" s="56"/>
      <c r="G949" s="56"/>
      <c r="H949" s="56"/>
    </row>
    <row r="950">
      <c r="D950" s="56"/>
      <c r="E950" s="56"/>
      <c r="F950" s="56"/>
      <c r="G950" s="56"/>
      <c r="H950" s="56"/>
    </row>
    <row r="951">
      <c r="D951" s="56"/>
      <c r="E951" s="56"/>
      <c r="F951" s="56"/>
      <c r="G951" s="56"/>
      <c r="H951" s="56"/>
    </row>
    <row r="952">
      <c r="D952" s="56"/>
      <c r="E952" s="56"/>
      <c r="F952" s="56"/>
      <c r="G952" s="56"/>
      <c r="H952" s="56"/>
    </row>
    <row r="953">
      <c r="D953" s="56"/>
      <c r="E953" s="56"/>
      <c r="F953" s="56"/>
      <c r="G953" s="56"/>
      <c r="H953" s="56"/>
    </row>
    <row r="954">
      <c r="D954" s="56"/>
      <c r="E954" s="56"/>
      <c r="F954" s="56"/>
      <c r="G954" s="56"/>
      <c r="H954" s="56"/>
    </row>
    <row r="955">
      <c r="D955" s="56"/>
      <c r="E955" s="56"/>
      <c r="F955" s="56"/>
      <c r="G955" s="56"/>
      <c r="H955" s="56"/>
    </row>
    <row r="956">
      <c r="D956" s="56"/>
      <c r="E956" s="56"/>
      <c r="F956" s="56"/>
      <c r="G956" s="56"/>
      <c r="H956" s="56"/>
    </row>
    <row r="957">
      <c r="D957" s="56"/>
      <c r="E957" s="56"/>
      <c r="F957" s="56"/>
      <c r="G957" s="56"/>
      <c r="H957" s="56"/>
    </row>
    <row r="958">
      <c r="D958" s="56"/>
      <c r="E958" s="56"/>
      <c r="F958" s="56"/>
      <c r="G958" s="56"/>
      <c r="H958" s="56"/>
    </row>
    <row r="959">
      <c r="D959" s="56"/>
      <c r="E959" s="56"/>
      <c r="F959" s="56"/>
      <c r="G959" s="56"/>
      <c r="H959" s="56"/>
    </row>
    <row r="960">
      <c r="D960" s="56"/>
      <c r="E960" s="56"/>
      <c r="F960" s="56"/>
      <c r="G960" s="56"/>
      <c r="H960" s="56"/>
    </row>
    <row r="961">
      <c r="D961" s="56"/>
      <c r="E961" s="56"/>
      <c r="F961" s="56"/>
      <c r="G961" s="56"/>
      <c r="H961" s="56"/>
    </row>
    <row r="962">
      <c r="D962" s="56"/>
      <c r="E962" s="56"/>
      <c r="F962" s="56"/>
      <c r="G962" s="56"/>
      <c r="H962" s="56"/>
    </row>
    <row r="963">
      <c r="D963" s="56"/>
      <c r="E963" s="56"/>
      <c r="F963" s="56"/>
      <c r="G963" s="56"/>
      <c r="H963" s="56"/>
    </row>
    <row r="964">
      <c r="D964" s="56"/>
      <c r="E964" s="56"/>
      <c r="F964" s="56"/>
      <c r="G964" s="56"/>
      <c r="H964" s="56"/>
    </row>
    <row r="965">
      <c r="D965" s="56"/>
      <c r="E965" s="56"/>
      <c r="F965" s="56"/>
      <c r="G965" s="56"/>
      <c r="H965" s="56"/>
    </row>
    <row r="966">
      <c r="D966" s="56"/>
      <c r="E966" s="56"/>
      <c r="F966" s="56"/>
      <c r="G966" s="56"/>
      <c r="H966" s="56"/>
    </row>
    <row r="967">
      <c r="D967" s="56"/>
      <c r="E967" s="56"/>
      <c r="F967" s="56"/>
      <c r="G967" s="56"/>
      <c r="H967" s="56"/>
    </row>
    <row r="968">
      <c r="D968" s="56"/>
      <c r="E968" s="56"/>
      <c r="F968" s="56"/>
      <c r="G968" s="56"/>
      <c r="H968" s="56"/>
    </row>
    <row r="969">
      <c r="D969" s="56"/>
      <c r="E969" s="56"/>
      <c r="F969" s="56"/>
      <c r="G969" s="56"/>
      <c r="H969" s="56"/>
    </row>
    <row r="970">
      <c r="D970" s="56"/>
      <c r="E970" s="56"/>
      <c r="F970" s="56"/>
      <c r="G970" s="56"/>
      <c r="H970" s="56"/>
    </row>
    <row r="971">
      <c r="D971" s="56"/>
      <c r="E971" s="56"/>
      <c r="F971" s="56"/>
      <c r="G971" s="56"/>
      <c r="H971" s="56"/>
    </row>
    <row r="972">
      <c r="D972" s="56"/>
      <c r="E972" s="56"/>
      <c r="F972" s="56"/>
      <c r="G972" s="56"/>
      <c r="H972" s="56"/>
    </row>
    <row r="973">
      <c r="D973" s="56"/>
      <c r="E973" s="56"/>
      <c r="F973" s="56"/>
      <c r="G973" s="56"/>
      <c r="H973" s="56"/>
    </row>
    <row r="974">
      <c r="D974" s="56"/>
      <c r="E974" s="56"/>
      <c r="F974" s="56"/>
      <c r="G974" s="56"/>
      <c r="H974" s="56"/>
    </row>
    <row r="975">
      <c r="D975" s="56"/>
      <c r="E975" s="56"/>
      <c r="F975" s="56"/>
      <c r="G975" s="56"/>
      <c r="H975" s="56"/>
    </row>
    <row r="976">
      <c r="D976" s="56"/>
      <c r="E976" s="56"/>
      <c r="F976" s="56"/>
      <c r="G976" s="56"/>
      <c r="H976" s="56"/>
    </row>
    <row r="977">
      <c r="D977" s="56"/>
      <c r="E977" s="56"/>
      <c r="F977" s="56"/>
      <c r="G977" s="56"/>
      <c r="H977" s="56"/>
    </row>
    <row r="978">
      <c r="D978" s="56"/>
      <c r="E978" s="56"/>
      <c r="F978" s="56"/>
      <c r="G978" s="56"/>
      <c r="H978" s="56"/>
    </row>
    <row r="979">
      <c r="D979" s="56"/>
      <c r="E979" s="56"/>
      <c r="F979" s="56"/>
      <c r="G979" s="56"/>
      <c r="H979" s="56"/>
    </row>
    <row r="980">
      <c r="D980" s="56"/>
      <c r="E980" s="56"/>
      <c r="F980" s="56"/>
      <c r="G980" s="56"/>
      <c r="H980" s="56"/>
    </row>
    <row r="981">
      <c r="D981" s="56"/>
      <c r="E981" s="56"/>
      <c r="F981" s="56"/>
      <c r="G981" s="56"/>
      <c r="H981" s="56"/>
    </row>
    <row r="982">
      <c r="D982" s="56"/>
      <c r="E982" s="56"/>
      <c r="F982" s="56"/>
      <c r="G982" s="56"/>
      <c r="H982" s="56"/>
    </row>
    <row r="983">
      <c r="D983" s="56"/>
      <c r="E983" s="56"/>
      <c r="F983" s="56"/>
      <c r="G983" s="56"/>
      <c r="H983" s="56"/>
    </row>
    <row r="984">
      <c r="D984" s="56"/>
      <c r="E984" s="56"/>
      <c r="F984" s="56"/>
      <c r="G984" s="56"/>
      <c r="H984" s="56"/>
    </row>
    <row r="985">
      <c r="D985" s="56"/>
      <c r="E985" s="56"/>
      <c r="F985" s="56"/>
      <c r="G985" s="56"/>
      <c r="H985" s="56"/>
    </row>
    <row r="986">
      <c r="D986" s="56"/>
      <c r="E986" s="56"/>
      <c r="F986" s="56"/>
      <c r="G986" s="56"/>
      <c r="H986" s="56"/>
    </row>
    <row r="987">
      <c r="D987" s="56"/>
      <c r="E987" s="56"/>
      <c r="F987" s="56"/>
      <c r="G987" s="56"/>
      <c r="H987" s="56"/>
    </row>
    <row r="988">
      <c r="D988" s="56"/>
      <c r="E988" s="56"/>
      <c r="F988" s="56"/>
      <c r="G988" s="56"/>
      <c r="H988" s="56"/>
    </row>
    <row r="989">
      <c r="D989" s="56"/>
      <c r="E989" s="56"/>
      <c r="F989" s="56"/>
      <c r="G989" s="56"/>
      <c r="H989" s="56"/>
    </row>
    <row r="990">
      <c r="D990" s="56"/>
      <c r="E990" s="56"/>
      <c r="F990" s="56"/>
      <c r="G990" s="56"/>
      <c r="H990" s="56"/>
    </row>
    <row r="991">
      <c r="D991" s="56"/>
      <c r="E991" s="56"/>
      <c r="F991" s="56"/>
      <c r="G991" s="56"/>
      <c r="H991" s="56"/>
    </row>
    <row r="992">
      <c r="D992" s="56"/>
      <c r="E992" s="56"/>
      <c r="F992" s="56"/>
      <c r="G992" s="56"/>
      <c r="H992" s="56"/>
    </row>
    <row r="993">
      <c r="D993" s="56"/>
      <c r="E993" s="56"/>
      <c r="F993" s="56"/>
      <c r="G993" s="56"/>
      <c r="H993" s="56"/>
    </row>
    <row r="994">
      <c r="D994" s="56"/>
      <c r="E994" s="56"/>
      <c r="F994" s="56"/>
      <c r="G994" s="56"/>
      <c r="H994" s="56"/>
    </row>
    <row r="995">
      <c r="D995" s="56"/>
      <c r="E995" s="56"/>
      <c r="F995" s="56"/>
      <c r="G995" s="56"/>
      <c r="H995" s="56"/>
    </row>
    <row r="996">
      <c r="D996" s="56"/>
      <c r="E996" s="56"/>
      <c r="F996" s="56"/>
      <c r="G996" s="56"/>
      <c r="H996" s="56"/>
    </row>
    <row r="997">
      <c r="D997" s="56"/>
      <c r="E997" s="56"/>
      <c r="F997" s="56"/>
      <c r="G997" s="56"/>
      <c r="H997" s="56"/>
    </row>
    <row r="998">
      <c r="D998" s="56"/>
      <c r="E998" s="56"/>
      <c r="F998" s="56"/>
      <c r="G998" s="56"/>
      <c r="H998" s="56"/>
    </row>
    <row r="999">
      <c r="D999" s="56"/>
      <c r="E999" s="56"/>
      <c r="F999" s="56"/>
      <c r="G999" s="56"/>
      <c r="H999" s="56"/>
    </row>
    <row r="1000">
      <c r="D1000" s="56"/>
      <c r="E1000" s="56"/>
      <c r="F1000" s="56"/>
      <c r="G1000" s="56"/>
      <c r="H1000" s="56"/>
    </row>
  </sheetData>
  <drawing r:id="rId1"/>
  <tableParts count="1">
    <tablePart r:id="rId3"/>
  </tableParts>
</worksheet>
</file>